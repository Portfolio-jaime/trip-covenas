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baña" sheetId="2" state="visible" r:id="rId2"/>
    <sheet xmlns:r="http://schemas.openxmlformats.org/officeDocument/2006/relationships" name="Personas" sheetId="3" state="visible" r:id="rId3"/>
    <sheet xmlns:r="http://schemas.openxmlformats.org/officeDocument/2006/relationships" name="Abonos" sheetId="4" state="visible" r:id="rId4"/>
    <sheet xmlns:r="http://schemas.openxmlformats.org/officeDocument/2006/relationships" name="Gastos" sheetId="5" state="visible" r:id="rId5"/>
    <sheet xmlns:r="http://schemas.openxmlformats.org/officeDocument/2006/relationships" name="Balance" sheetId="6" state="visible" r:id="rId6"/>
    <sheet xmlns:r="http://schemas.openxmlformats.org/officeDocument/2006/relationships" name="Estimado" sheetId="7" state="visible" r:id="rId7"/>
    <sheet xmlns:r="http://schemas.openxmlformats.org/officeDocument/2006/relationships" name="Carros" sheetId="8" state="visible" r:id="rId8"/>
    <sheet xmlns:r="http://schemas.openxmlformats.org/officeDocument/2006/relationships" name="Tesl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1"/>
    </font>
    <font>
      <i val="1"/>
      <color rgb="00777777"/>
      <sz val="9"/>
    </font>
    <font>
      <name val="Calibri"/>
      <b val="1"/>
      <color rgb="00FFFFFF"/>
      <sz val="11"/>
    </font>
    <font>
      <i val="1"/>
      <color rgb="00B33A3A"/>
      <sz val="9"/>
    </font>
    <font>
      <b val="1"/>
      <color rgb="001F3B57"/>
      <sz val="13"/>
    </font>
    <font>
      <i val="1"/>
      <color rgb="00777777"/>
      <sz val="10"/>
    </font>
    <font>
      <i val="1"/>
      <color rgb="00777777"/>
      <sz val="9.5"/>
    </font>
    <font>
      <b val="1"/>
      <color rgb="002E7D6B"/>
      <sz val="12"/>
    </font>
    <font>
      <name val="Calibri"/>
      <i val="1"/>
      <color rgb="00777777"/>
      <sz val="9"/>
    </font>
    <font>
      <name val="Calibri"/>
      <b val="1"/>
      <color rgb="001F3B57"/>
      <sz val="11"/>
    </font>
    <font>
      <i val="1"/>
    </font>
    <font>
      <name val="Calibri"/>
      <b val="1"/>
      <color rgb="00B8863A"/>
      <sz val="10.5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2E7D6B"/>
      </patternFill>
    </fill>
    <fill>
      <patternFill patternType="solid">
        <fgColor rgb="00FFF6E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4" fontId="0" fillId="0" borderId="0" pivotButton="0" quotePrefix="0" xfId="0"/>
    <xf numFmtId="164" fontId="6" fillId="0" borderId="0" pivotButton="0" quotePrefix="0" xfId="0"/>
    <xf numFmtId="164" fontId="0" fillId="0" borderId="1" pivotButton="0" quotePrefix="0" xfId="0"/>
    <xf numFmtId="164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11" fillId="0" borderId="0" pivotButton="0" quotePrefix="0" xfId="0"/>
    <xf numFmtId="0" fontId="8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0" fillId="0" borderId="0" pivotButton="0" quotePrefix="0" xfId="0"/>
    <xf numFmtId="164" fontId="12" fillId="0" borderId="1" pivotButton="0" quotePrefix="0" xfId="0"/>
    <xf numFmtId="0" fontId="13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2" max="2"/>
    <col width="15" customWidth="1" min="3" max="3"/>
  </cols>
  <sheetData>
    <row r="1" ht="28" customHeight="1">
      <c r="A1" s="1" t="inlineStr">
        <is>
          <t>🌊 RESUMEN - VIAJE FAMILIAR A COVEÑAS</t>
        </is>
      </c>
    </row>
    <row r="2">
      <c r="A2" s="2" t="inlineStr">
        <is>
          <t>Fechas</t>
        </is>
      </c>
      <c r="B2" t="inlineStr">
        <is>
          <t>29 dic 2026 → 4 ene 2027 (6 noches)</t>
        </is>
      </c>
    </row>
    <row r="3">
      <c r="A3" s="2" t="inlineStr">
        <is>
          <t>Días para el viaje</t>
        </is>
      </c>
      <c r="B3" s="3">
        <f>Cabaña!B2-TODAY()</f>
        <v/>
      </c>
    </row>
    <row r="4">
      <c r="A4" s="2" t="inlineStr">
        <is>
          <t>Costo total cabaña</t>
        </is>
      </c>
      <c r="B4" s="16">
        <f>Cabaña!B5</f>
        <v/>
      </c>
    </row>
    <row r="5">
      <c r="A5" s="2" t="inlineStr">
        <is>
          <t>Total gastos variables registrados</t>
        </is>
      </c>
      <c r="B5" s="16">
        <f>Gastos!$E$102</f>
        <v/>
      </c>
    </row>
    <row r="6">
      <c r="A6" s="5" t="inlineStr">
        <is>
          <t>GRAN TOTAL VIAJE</t>
        </is>
      </c>
      <c r="B6" s="17">
        <f>Cabaña!B5+Gastos!$E$102</f>
        <v/>
      </c>
    </row>
    <row r="7">
      <c r="A7" s="2" t="inlineStr">
        <is>
          <t>Total abonado por todos</t>
        </is>
      </c>
      <c r="B7" s="16">
        <f>Abonos!$E$62</f>
        <v/>
      </c>
    </row>
    <row r="8">
      <c r="A8" s="2" t="inlineStr">
        <is>
          <t>Saldo pendiente por recaudar</t>
        </is>
      </c>
      <c r="B8" s="16">
        <f>(Cabaña!B5+Gastos!$E$102)-Abonos!$E$62</f>
        <v/>
      </c>
    </row>
    <row r="9">
      <c r="A9" s="2" t="inlineStr">
        <is>
          <t>Costo promedio por persona (12 base)</t>
        </is>
      </c>
      <c r="B9" s="16">
        <f>(Cabaña!B5+Gastos!$E$102)/12</f>
        <v/>
      </c>
    </row>
    <row r="10">
      <c r="A10" s="2" t="inlineStr">
        <is>
          <t>Fecha límite de pago cabaña</t>
        </is>
      </c>
      <c r="B10">
        <f>Cabaña!B7</f>
        <v/>
      </c>
    </row>
    <row r="12">
      <c r="A12" s="7" t="inlineStr">
        <is>
          <t>Ver detalle de quién debe / quién va al día en la hoja 'Balance'.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</cols>
  <sheetData>
    <row r="1" ht="28" customHeight="1">
      <c r="A1" s="1" t="inlineStr">
        <is>
          <t>🏖️ CABAÑA - COVEÑAS</t>
        </is>
      </c>
    </row>
    <row r="2">
      <c r="A2" s="2" t="inlineStr">
        <is>
          <t>Fecha de entrada</t>
        </is>
      </c>
      <c r="B2" s="8" t="n">
        <v>46385</v>
      </c>
    </row>
    <row r="3">
      <c r="A3" s="2" t="inlineStr">
        <is>
          <t>Fecha de salida</t>
        </is>
      </c>
      <c r="B3" s="8" t="n">
        <v>46391</v>
      </c>
    </row>
    <row r="4">
      <c r="A4" s="2" t="inlineStr">
        <is>
          <t>Noches</t>
        </is>
      </c>
      <c r="B4">
        <f>B3-B2</f>
        <v/>
      </c>
    </row>
    <row r="5">
      <c r="A5" s="2" t="inlineStr">
        <is>
          <t>Costo total cabaña</t>
        </is>
      </c>
      <c r="B5" s="16" t="n">
        <v>6860000</v>
      </c>
    </row>
    <row r="6">
      <c r="A6" s="2" t="inlineStr">
        <is>
          <t>Abono ya pagado (reserva)</t>
        </is>
      </c>
      <c r="B6" s="16">
        <f>SUMIF(Abonos!D:D,"*reserva*",Abonos!E:E)</f>
        <v/>
      </c>
    </row>
    <row r="7">
      <c r="A7" s="2" t="inlineStr">
        <is>
          <t>Fecha límite de pago</t>
        </is>
      </c>
      <c r="B7" t="inlineStr">
        <is>
          <t>Por confirmar</t>
        </is>
      </c>
    </row>
    <row r="8">
      <c r="A8" s="2" t="inlineStr">
        <is>
          <t>Costo por noche (base 12 pers.)</t>
        </is>
      </c>
      <c r="B8" s="16">
        <f>B5/B4</f>
        <v/>
      </c>
    </row>
    <row r="9">
      <c r="A9" s="2" t="inlineStr">
        <is>
          <t>Personas base incluidas</t>
        </is>
      </c>
      <c r="B9" t="n">
        <v>12</v>
      </c>
    </row>
    <row r="10">
      <c r="A10" s="2" t="inlineStr">
        <is>
          <t>Estado</t>
        </is>
      </c>
      <c r="B10" t="inlineStr">
        <is>
          <t>Reservada ✅ (cabaña #2, Condominio Victoria Real)</t>
        </is>
      </c>
    </row>
    <row r="11">
      <c r="A11" s="2" t="inlineStr">
        <is>
          <t>Link reserva (Airbnb)</t>
        </is>
      </c>
      <c r="B11" t="inlineStr">
        <is>
          <t>https://es-l.airbnb.com/rooms/1586967966635694597</t>
        </is>
      </c>
    </row>
    <row r="13">
      <c r="A13" s="9" t="inlineStr">
        <is>
          <t>Nota: el costo por noche por persona se calcula abajo en 'Personas', repartiendo</t>
        </is>
      </c>
    </row>
    <row r="14">
      <c r="A14" s="9" t="inlineStr">
        <is>
          <t>el costo total entre las noches reales de cada quien (para los que van fechas distintas).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32" customWidth="1" min="4" max="4"/>
    <col width="42" customWidth="1" min="5" max="5"/>
  </cols>
  <sheetData>
    <row r="1" ht="28" customHeight="1">
      <c r="A1" s="1" t="inlineStr">
        <is>
          <t>👨‍👩‍👧‍👦 PERSONAS Y NOCHES</t>
        </is>
      </c>
    </row>
    <row r="2" ht="32" customHeight="1">
      <c r="A2" s="10" t="inlineStr">
        <is>
          <t>Nombre</t>
        </is>
      </c>
      <c r="B2" s="10" t="inlineStr">
        <is>
          <t>Grupo familiar</t>
        </is>
      </c>
      <c r="C2" s="10" t="inlineStr">
        <is>
          <t>Noches en cabaña</t>
        </is>
      </c>
      <c r="D2" s="10" t="inlineStr">
        <is>
          <t>Participa gastos variables (Sí/No)</t>
        </is>
      </c>
      <c r="E2" s="10" t="inlineStr">
        <is>
          <t>Nota</t>
        </is>
      </c>
    </row>
    <row r="3">
      <c r="A3" s="11" t="inlineStr">
        <is>
          <t>Andrés</t>
        </is>
      </c>
      <c r="B3" s="11" t="inlineStr">
        <is>
          <t>Grupo Andrés</t>
        </is>
      </c>
      <c r="C3" s="11" t="n">
        <v>6</v>
      </c>
      <c r="D3" s="11" t="inlineStr">
        <is>
          <t>Sí</t>
        </is>
      </c>
      <c r="E3" s="12" t="inlineStr"/>
    </row>
    <row r="4">
      <c r="A4" s="11" t="inlineStr">
        <is>
          <t>Diana</t>
        </is>
      </c>
      <c r="B4" s="11" t="inlineStr">
        <is>
          <t>Grupo Andrés</t>
        </is>
      </c>
      <c r="C4" s="11" t="n">
        <v>6</v>
      </c>
      <c r="D4" s="11" t="inlineStr">
        <is>
          <t>Sí</t>
        </is>
      </c>
      <c r="E4" s="12" t="inlineStr"/>
    </row>
    <row r="5">
      <c r="A5" s="11" t="inlineStr">
        <is>
          <t>Thomas</t>
        </is>
      </c>
      <c r="B5" s="11" t="inlineStr">
        <is>
          <t>Grupo Andrés</t>
        </is>
      </c>
      <c r="C5" s="11" t="n">
        <v>6</v>
      </c>
      <c r="D5" s="11" t="inlineStr">
        <is>
          <t>Sí</t>
        </is>
      </c>
      <c r="E5" s="12" t="inlineStr"/>
    </row>
    <row r="6">
      <c r="A6" s="11" t="inlineStr">
        <is>
          <t>Ana Maria Moncada</t>
        </is>
      </c>
      <c r="B6" s="11" t="inlineStr">
        <is>
          <t>Grupo Ana</t>
        </is>
      </c>
      <c r="C6" s="11" t="n">
        <v>6</v>
      </c>
      <c r="D6" s="11" t="inlineStr">
        <is>
          <t>Sí</t>
        </is>
      </c>
      <c r="E6" s="12" t="inlineStr"/>
    </row>
    <row r="7">
      <c r="A7" s="11" t="inlineStr">
        <is>
          <t>Isabella</t>
        </is>
      </c>
      <c r="B7" s="11" t="inlineStr">
        <is>
          <t>Grupo Ana</t>
        </is>
      </c>
      <c r="C7" s="11" t="n">
        <v>6</v>
      </c>
      <c r="D7" s="11" t="inlineStr">
        <is>
          <t>Sí</t>
        </is>
      </c>
      <c r="E7" s="12" t="inlineStr"/>
    </row>
    <row r="8">
      <c r="A8" s="11" t="inlineStr">
        <is>
          <t>Alex HenO</t>
        </is>
      </c>
      <c r="B8" s="11" t="inlineStr">
        <is>
          <t>Grupo Alex</t>
        </is>
      </c>
      <c r="C8" s="11" t="n">
        <v>6</v>
      </c>
      <c r="D8" s="11" t="inlineStr">
        <is>
          <t>Sí</t>
        </is>
      </c>
      <c r="E8" s="12" t="inlineStr"/>
    </row>
    <row r="9">
      <c r="A9" s="11" t="inlineStr">
        <is>
          <t>Alyson</t>
        </is>
      </c>
      <c r="B9" s="11" t="inlineStr">
        <is>
          <t>Grupo Alex</t>
        </is>
      </c>
      <c r="C9" s="11" t="n">
        <v>6</v>
      </c>
      <c r="D9" s="11" t="inlineStr">
        <is>
          <t>Sí</t>
        </is>
      </c>
      <c r="E9" s="12" t="inlineStr"/>
    </row>
    <row r="10">
      <c r="A10" s="11" t="inlineStr">
        <is>
          <t>Sandra Arbelaez</t>
        </is>
      </c>
      <c r="B10" s="11" t="inlineStr">
        <is>
          <t>Grupo Sandra</t>
        </is>
      </c>
      <c r="C10" s="11" t="n">
        <v>6</v>
      </c>
      <c r="D10" s="11" t="inlineStr">
        <is>
          <t>Sí</t>
        </is>
      </c>
      <c r="E10" s="12" t="inlineStr"/>
    </row>
    <row r="11">
      <c r="A11" s="11" t="inlineStr">
        <is>
          <t>Juanjo</t>
        </is>
      </c>
      <c r="B11" s="11" t="inlineStr">
        <is>
          <t>Grupo Sandra</t>
        </is>
      </c>
      <c r="C11" s="11" t="n">
        <v>6</v>
      </c>
      <c r="D11" s="11" t="inlineStr">
        <is>
          <t>Sí</t>
        </is>
      </c>
      <c r="E11" s="12" t="inlineStr"/>
    </row>
    <row r="12">
      <c r="A12" s="11" t="inlineStr">
        <is>
          <t>Daniel Felipe Ortega</t>
        </is>
      </c>
      <c r="B12" s="11" t="inlineStr">
        <is>
          <t>Casa Mery</t>
        </is>
      </c>
      <c r="C12" s="11" t="n">
        <v>6</v>
      </c>
      <c r="D12" s="11" t="inlineStr">
        <is>
          <t>Sí</t>
        </is>
      </c>
      <c r="E12" s="12" t="inlineStr"/>
    </row>
    <row r="13">
      <c r="A13" s="11" t="inlineStr">
        <is>
          <t>Marlen Moncada</t>
        </is>
      </c>
      <c r="B13" s="11" t="inlineStr">
        <is>
          <t>Casa Mery</t>
        </is>
      </c>
      <c r="C13" s="11" t="n">
        <v>6</v>
      </c>
      <c r="D13" s="11" t="inlineStr">
        <is>
          <t>Sí</t>
        </is>
      </c>
      <c r="E13" s="12" t="inlineStr"/>
    </row>
    <row r="14">
      <c r="A14" s="11" t="inlineStr">
        <is>
          <t>Patricia Arbelaez</t>
        </is>
      </c>
      <c r="B14" s="11" t="inlineStr">
        <is>
          <t>Grupo Paty</t>
        </is>
      </c>
      <c r="C14" s="11" t="n">
        <v>6</v>
      </c>
      <c r="D14" s="11" t="inlineStr">
        <is>
          <t>Sí</t>
        </is>
      </c>
      <c r="E14" s="12" t="inlineStr"/>
    </row>
    <row r="15">
      <c r="A15" s="11" t="inlineStr">
        <is>
          <t>Julián</t>
        </is>
      </c>
      <c r="B15" s="11" t="inlineStr">
        <is>
          <t>Extra (con Alyson - Grupo Alex)</t>
        </is>
      </c>
      <c r="C15" s="11" t="n">
        <v>3</v>
      </c>
      <c r="D15" s="11" t="inlineStr">
        <is>
          <t>Sí</t>
        </is>
      </c>
      <c r="E15" s="12" t="inlineStr">
        <is>
          <t>Llega después del 31 dic - AJUSTAR noches reales</t>
        </is>
      </c>
    </row>
    <row r="17">
      <c r="A17" s="2" t="inlineStr">
        <is>
          <t>Total noches-persona:</t>
        </is>
      </c>
      <c r="C17">
        <f>SUM(C3:C15)</f>
        <v/>
      </c>
    </row>
  </sheetData>
  <mergeCells count="1">
    <mergeCell ref="A1:F1"/>
  </mergeCells>
  <dataValidations count="1">
    <dataValidation sqref="D3:D35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26" customWidth="1" min="4" max="4"/>
    <col width="16" customWidth="1" min="5" max="5"/>
    <col width="36" customWidth="1" min="6" max="6"/>
  </cols>
  <sheetData>
    <row r="1" ht="28" customHeight="1">
      <c r="A1" s="1" t="inlineStr">
        <is>
          <t>💰 ABONOS / ADELANTOS</t>
        </is>
      </c>
    </row>
    <row r="2" ht="32" customHeight="1">
      <c r="A2" s="10" t="inlineStr">
        <is>
          <t>Fecha</t>
        </is>
      </c>
      <c r="B2" s="10" t="inlineStr">
        <is>
          <t>Nombre</t>
        </is>
      </c>
      <c r="C2" s="10" t="inlineStr">
        <is>
          <t>Grupo familiar</t>
        </is>
      </c>
      <c r="D2" s="10" t="inlineStr">
        <is>
          <t>Concepto</t>
        </is>
      </c>
      <c r="E2" s="10" t="inlineStr">
        <is>
          <t>Valor</t>
        </is>
      </c>
      <c r="F2" s="10" t="inlineStr">
        <is>
          <t>Nota</t>
        </is>
      </c>
    </row>
    <row r="3">
      <c r="A3" s="13" t="n">
        <v>46244</v>
      </c>
      <c r="B3" s="11" t="inlineStr">
        <is>
          <t>Andrés</t>
        </is>
      </c>
      <c r="C3" s="11" t="inlineStr">
        <is>
          <t>Grupo Andrés</t>
        </is>
      </c>
      <c r="D3" s="11" t="inlineStr">
        <is>
          <t>Abono reserva cabaña</t>
        </is>
      </c>
      <c r="E3" s="18" t="n">
        <v>250000</v>
      </c>
      <c r="F3" s="11" t="inlineStr">
        <is>
          <t>Pago inicial para asegurar la cabaña</t>
        </is>
      </c>
    </row>
    <row r="4">
      <c r="A4" s="13" t="n">
        <v>46244</v>
      </c>
      <c r="B4" s="11" t="inlineStr">
        <is>
          <t>Ana Maria Moncada</t>
        </is>
      </c>
      <c r="C4" s="11" t="inlineStr">
        <is>
          <t>Grupo Ana</t>
        </is>
      </c>
      <c r="D4" s="11" t="inlineStr">
        <is>
          <t>Abono reserva cabaña</t>
        </is>
      </c>
      <c r="E4" s="18" t="n">
        <v>250000</v>
      </c>
      <c r="F4" s="11" t="inlineStr">
        <is>
          <t>Pago inicial para asegurar la cabaña</t>
        </is>
      </c>
    </row>
    <row r="5">
      <c r="A5" s="13" t="n"/>
      <c r="B5" s="11" t="n"/>
      <c r="C5" s="11" t="n"/>
      <c r="D5" s="11" t="n"/>
      <c r="E5" s="18" t="n"/>
      <c r="F5" s="11" t="n"/>
    </row>
    <row r="6">
      <c r="A6" s="13" t="n"/>
      <c r="B6" s="11" t="n"/>
      <c r="C6" s="11" t="n"/>
      <c r="D6" s="11" t="n"/>
      <c r="E6" s="18" t="n"/>
      <c r="F6" s="11" t="n"/>
    </row>
    <row r="7">
      <c r="A7" s="13" t="n"/>
      <c r="B7" s="11" t="n"/>
      <c r="C7" s="11" t="n"/>
      <c r="D7" s="11" t="n"/>
      <c r="E7" s="18" t="n"/>
      <c r="F7" s="11" t="n"/>
    </row>
    <row r="8">
      <c r="A8" s="13" t="n"/>
      <c r="B8" s="11" t="n"/>
      <c r="C8" s="11" t="n"/>
      <c r="D8" s="11" t="n"/>
      <c r="E8" s="18" t="n"/>
      <c r="F8" s="11" t="n"/>
    </row>
    <row r="9">
      <c r="A9" s="13" t="n"/>
      <c r="B9" s="11" t="n"/>
      <c r="C9" s="11" t="n"/>
      <c r="D9" s="11" t="n"/>
      <c r="E9" s="18" t="n"/>
      <c r="F9" s="11" t="n"/>
    </row>
    <row r="10">
      <c r="A10" s="13" t="n"/>
      <c r="B10" s="11" t="n"/>
      <c r="C10" s="11" t="n"/>
      <c r="D10" s="11" t="n"/>
      <c r="E10" s="18" t="n"/>
      <c r="F10" s="11" t="n"/>
    </row>
    <row r="11">
      <c r="A11" s="13" t="n"/>
      <c r="B11" s="11" t="n"/>
      <c r="C11" s="11" t="n"/>
      <c r="D11" s="11" t="n"/>
      <c r="E11" s="18" t="n"/>
      <c r="F11" s="11" t="n"/>
    </row>
    <row r="12">
      <c r="A12" s="13" t="n"/>
      <c r="B12" s="11" t="n"/>
      <c r="C12" s="11" t="n"/>
      <c r="D12" s="11" t="n"/>
      <c r="E12" s="18" t="n"/>
      <c r="F12" s="11" t="n"/>
    </row>
    <row r="13">
      <c r="A13" s="13" t="n"/>
      <c r="B13" s="11" t="n"/>
      <c r="C13" s="11" t="n"/>
      <c r="D13" s="11" t="n"/>
      <c r="E13" s="18" t="n"/>
      <c r="F13" s="11" t="n"/>
    </row>
    <row r="14">
      <c r="A14" s="13" t="n"/>
      <c r="B14" s="11" t="n"/>
      <c r="C14" s="11" t="n"/>
      <c r="D14" s="11" t="n"/>
      <c r="E14" s="18" t="n"/>
      <c r="F14" s="11" t="n"/>
    </row>
    <row r="15">
      <c r="A15" s="13" t="n"/>
      <c r="B15" s="11" t="n"/>
      <c r="C15" s="11" t="n"/>
      <c r="D15" s="11" t="n"/>
      <c r="E15" s="18" t="n"/>
      <c r="F15" s="11" t="n"/>
    </row>
    <row r="16">
      <c r="A16" s="13" t="n"/>
      <c r="B16" s="11" t="n"/>
      <c r="C16" s="11" t="n"/>
      <c r="D16" s="11" t="n"/>
      <c r="E16" s="18" t="n"/>
      <c r="F16" s="11" t="n"/>
    </row>
    <row r="17">
      <c r="A17" s="13" t="n"/>
      <c r="B17" s="11" t="n"/>
      <c r="C17" s="11" t="n"/>
      <c r="D17" s="11" t="n"/>
      <c r="E17" s="18" t="n"/>
      <c r="F17" s="11" t="n"/>
    </row>
    <row r="18">
      <c r="A18" s="13" t="n"/>
      <c r="B18" s="11" t="n"/>
      <c r="C18" s="11" t="n"/>
      <c r="D18" s="11" t="n"/>
      <c r="E18" s="18" t="n"/>
      <c r="F18" s="11" t="n"/>
    </row>
    <row r="19">
      <c r="A19" s="13" t="n"/>
      <c r="B19" s="11" t="n"/>
      <c r="C19" s="11" t="n"/>
      <c r="D19" s="11" t="n"/>
      <c r="E19" s="18" t="n"/>
      <c r="F19" s="11" t="n"/>
    </row>
    <row r="20">
      <c r="A20" s="13" t="n"/>
      <c r="B20" s="11" t="n"/>
      <c r="C20" s="11" t="n"/>
      <c r="D20" s="11" t="n"/>
      <c r="E20" s="18" t="n"/>
      <c r="F20" s="11" t="n"/>
    </row>
    <row r="21">
      <c r="A21" s="13" t="n"/>
      <c r="B21" s="11" t="n"/>
      <c r="C21" s="11" t="n"/>
      <c r="D21" s="11" t="n"/>
      <c r="E21" s="18" t="n"/>
      <c r="F21" s="11" t="n"/>
    </row>
    <row r="22">
      <c r="A22" s="13" t="n"/>
      <c r="B22" s="11" t="n"/>
      <c r="C22" s="11" t="n"/>
      <c r="D22" s="11" t="n"/>
      <c r="E22" s="18" t="n"/>
      <c r="F22" s="11" t="n"/>
    </row>
    <row r="23">
      <c r="A23" s="13" t="n"/>
      <c r="B23" s="11" t="n"/>
      <c r="C23" s="11" t="n"/>
      <c r="D23" s="11" t="n"/>
      <c r="E23" s="18" t="n"/>
      <c r="F23" s="11" t="n"/>
    </row>
    <row r="24">
      <c r="A24" s="13" t="n"/>
      <c r="B24" s="11" t="n"/>
      <c r="C24" s="11" t="n"/>
      <c r="D24" s="11" t="n"/>
      <c r="E24" s="18" t="n"/>
      <c r="F24" s="11" t="n"/>
    </row>
    <row r="25">
      <c r="A25" s="13" t="n"/>
      <c r="B25" s="11" t="n"/>
      <c r="C25" s="11" t="n"/>
      <c r="D25" s="11" t="n"/>
      <c r="E25" s="18" t="n"/>
      <c r="F25" s="11" t="n"/>
    </row>
    <row r="26">
      <c r="A26" s="13" t="n"/>
      <c r="B26" s="11" t="n"/>
      <c r="C26" s="11" t="n"/>
      <c r="D26" s="11" t="n"/>
      <c r="E26" s="18" t="n"/>
      <c r="F26" s="11" t="n"/>
    </row>
    <row r="27">
      <c r="A27" s="13" t="n"/>
      <c r="B27" s="11" t="n"/>
      <c r="C27" s="11" t="n"/>
      <c r="D27" s="11" t="n"/>
      <c r="E27" s="18" t="n"/>
      <c r="F27" s="11" t="n"/>
    </row>
    <row r="28">
      <c r="A28" s="13" t="n"/>
      <c r="B28" s="11" t="n"/>
      <c r="C28" s="11" t="n"/>
      <c r="D28" s="11" t="n"/>
      <c r="E28" s="18" t="n"/>
      <c r="F28" s="11" t="n"/>
    </row>
    <row r="29">
      <c r="A29" s="13" t="n"/>
      <c r="B29" s="11" t="n"/>
      <c r="C29" s="11" t="n"/>
      <c r="D29" s="11" t="n"/>
      <c r="E29" s="18" t="n"/>
      <c r="F29" s="11" t="n"/>
    </row>
    <row r="30">
      <c r="A30" s="13" t="n"/>
      <c r="B30" s="11" t="n"/>
      <c r="C30" s="11" t="n"/>
      <c r="D30" s="11" t="n"/>
      <c r="E30" s="18" t="n"/>
      <c r="F30" s="11" t="n"/>
    </row>
    <row r="31">
      <c r="A31" s="13" t="n"/>
      <c r="B31" s="11" t="n"/>
      <c r="C31" s="11" t="n"/>
      <c r="D31" s="11" t="n"/>
      <c r="E31" s="18" t="n"/>
      <c r="F31" s="11" t="n"/>
    </row>
    <row r="32">
      <c r="A32" s="13" t="n"/>
      <c r="B32" s="11" t="n"/>
      <c r="C32" s="11" t="n"/>
      <c r="D32" s="11" t="n"/>
      <c r="E32" s="18" t="n"/>
      <c r="F32" s="11" t="n"/>
    </row>
    <row r="33">
      <c r="A33" s="13" t="n"/>
      <c r="B33" s="11" t="n"/>
      <c r="C33" s="11" t="n"/>
      <c r="D33" s="11" t="n"/>
      <c r="E33" s="18" t="n"/>
      <c r="F33" s="11" t="n"/>
    </row>
    <row r="34">
      <c r="A34" s="13" t="n"/>
      <c r="B34" s="11" t="n"/>
      <c r="C34" s="11" t="n"/>
      <c r="D34" s="11" t="n"/>
      <c r="E34" s="18" t="n"/>
      <c r="F34" s="11" t="n"/>
    </row>
    <row r="35">
      <c r="A35" s="13" t="n"/>
      <c r="B35" s="11" t="n"/>
      <c r="C35" s="11" t="n"/>
      <c r="D35" s="11" t="n"/>
      <c r="E35" s="18" t="n"/>
      <c r="F35" s="11" t="n"/>
    </row>
    <row r="36">
      <c r="A36" s="13" t="n"/>
      <c r="B36" s="11" t="n"/>
      <c r="C36" s="11" t="n"/>
      <c r="D36" s="11" t="n"/>
      <c r="E36" s="18" t="n"/>
      <c r="F36" s="11" t="n"/>
    </row>
    <row r="37">
      <c r="A37" s="13" t="n"/>
      <c r="B37" s="11" t="n"/>
      <c r="C37" s="11" t="n"/>
      <c r="D37" s="11" t="n"/>
      <c r="E37" s="18" t="n"/>
      <c r="F37" s="11" t="n"/>
    </row>
    <row r="38">
      <c r="A38" s="13" t="n"/>
      <c r="B38" s="11" t="n"/>
      <c r="C38" s="11" t="n"/>
      <c r="D38" s="11" t="n"/>
      <c r="E38" s="18" t="n"/>
      <c r="F38" s="11" t="n"/>
    </row>
    <row r="39">
      <c r="A39" s="13" t="n"/>
      <c r="B39" s="11" t="n"/>
      <c r="C39" s="11" t="n"/>
      <c r="D39" s="11" t="n"/>
      <c r="E39" s="18" t="n"/>
      <c r="F39" s="11" t="n"/>
    </row>
    <row r="40">
      <c r="A40" s="13" t="n"/>
      <c r="B40" s="11" t="n"/>
      <c r="C40" s="11" t="n"/>
      <c r="D40" s="11" t="n"/>
      <c r="E40" s="18" t="n"/>
      <c r="F40" s="11" t="n"/>
    </row>
    <row r="41">
      <c r="A41" s="13" t="n"/>
      <c r="B41" s="11" t="n"/>
      <c r="C41" s="11" t="n"/>
      <c r="D41" s="11" t="n"/>
      <c r="E41" s="18" t="n"/>
      <c r="F41" s="11" t="n"/>
    </row>
    <row r="42">
      <c r="A42" s="13" t="n"/>
      <c r="B42" s="11" t="n"/>
      <c r="C42" s="11" t="n"/>
      <c r="D42" s="11" t="n"/>
      <c r="E42" s="18" t="n"/>
      <c r="F42" s="11" t="n"/>
    </row>
    <row r="43">
      <c r="A43" s="13" t="n"/>
      <c r="B43" s="11" t="n"/>
      <c r="C43" s="11" t="n"/>
      <c r="D43" s="11" t="n"/>
      <c r="E43" s="18" t="n"/>
      <c r="F43" s="11" t="n"/>
    </row>
    <row r="44">
      <c r="A44" s="13" t="n"/>
      <c r="B44" s="11" t="n"/>
      <c r="C44" s="11" t="n"/>
      <c r="D44" s="11" t="n"/>
      <c r="E44" s="18" t="n"/>
      <c r="F44" s="11" t="n"/>
    </row>
    <row r="45">
      <c r="A45" s="13" t="n"/>
      <c r="B45" s="11" t="n"/>
      <c r="C45" s="11" t="n"/>
      <c r="D45" s="11" t="n"/>
      <c r="E45" s="18" t="n"/>
      <c r="F45" s="11" t="n"/>
    </row>
    <row r="46">
      <c r="A46" s="13" t="n"/>
      <c r="B46" s="11" t="n"/>
      <c r="C46" s="11" t="n"/>
      <c r="D46" s="11" t="n"/>
      <c r="E46" s="18" t="n"/>
      <c r="F46" s="11" t="n"/>
    </row>
    <row r="47">
      <c r="A47" s="13" t="n"/>
      <c r="B47" s="11" t="n"/>
      <c r="C47" s="11" t="n"/>
      <c r="D47" s="11" t="n"/>
      <c r="E47" s="18" t="n"/>
      <c r="F47" s="11" t="n"/>
    </row>
    <row r="48">
      <c r="A48" s="13" t="n"/>
      <c r="B48" s="11" t="n"/>
      <c r="C48" s="11" t="n"/>
      <c r="D48" s="11" t="n"/>
      <c r="E48" s="18" t="n"/>
      <c r="F48" s="11" t="n"/>
    </row>
    <row r="49">
      <c r="A49" s="13" t="n"/>
      <c r="B49" s="11" t="n"/>
      <c r="C49" s="11" t="n"/>
      <c r="D49" s="11" t="n"/>
      <c r="E49" s="18" t="n"/>
      <c r="F49" s="11" t="n"/>
    </row>
    <row r="50">
      <c r="A50" s="13" t="n"/>
      <c r="B50" s="11" t="n"/>
      <c r="C50" s="11" t="n"/>
      <c r="D50" s="11" t="n"/>
      <c r="E50" s="18" t="n"/>
      <c r="F50" s="11" t="n"/>
    </row>
    <row r="51">
      <c r="A51" s="13" t="n"/>
      <c r="B51" s="11" t="n"/>
      <c r="C51" s="11" t="n"/>
      <c r="D51" s="11" t="n"/>
      <c r="E51" s="18" t="n"/>
      <c r="F51" s="11" t="n"/>
    </row>
    <row r="52">
      <c r="A52" s="13" t="n"/>
      <c r="B52" s="11" t="n"/>
      <c r="C52" s="11" t="n"/>
      <c r="D52" s="11" t="n"/>
      <c r="E52" s="18" t="n"/>
      <c r="F52" s="11" t="n"/>
    </row>
    <row r="53">
      <c r="A53" s="13" t="n"/>
      <c r="B53" s="11" t="n"/>
      <c r="C53" s="11" t="n"/>
      <c r="D53" s="11" t="n"/>
      <c r="E53" s="18" t="n"/>
      <c r="F53" s="11" t="n"/>
    </row>
    <row r="54">
      <c r="A54" s="13" t="n"/>
      <c r="B54" s="11" t="n"/>
      <c r="C54" s="11" t="n"/>
      <c r="D54" s="11" t="n"/>
      <c r="E54" s="18" t="n"/>
      <c r="F54" s="11" t="n"/>
    </row>
    <row r="55">
      <c r="A55" s="13" t="n"/>
      <c r="B55" s="11" t="n"/>
      <c r="C55" s="11" t="n"/>
      <c r="D55" s="11" t="n"/>
      <c r="E55" s="18" t="n"/>
      <c r="F55" s="11" t="n"/>
    </row>
    <row r="56">
      <c r="A56" s="13" t="n"/>
      <c r="B56" s="11" t="n"/>
      <c r="C56" s="11" t="n"/>
      <c r="D56" s="11" t="n"/>
      <c r="E56" s="18" t="n"/>
      <c r="F56" s="11" t="n"/>
    </row>
    <row r="57">
      <c r="A57" s="13" t="n"/>
      <c r="B57" s="11" t="n"/>
      <c r="C57" s="11" t="n"/>
      <c r="D57" s="11" t="n"/>
      <c r="E57" s="18" t="n"/>
      <c r="F57" s="11" t="n"/>
    </row>
    <row r="58">
      <c r="A58" s="13" t="n"/>
      <c r="B58" s="11" t="n"/>
      <c r="C58" s="11" t="n"/>
      <c r="D58" s="11" t="n"/>
      <c r="E58" s="18" t="n"/>
      <c r="F58" s="11" t="n"/>
    </row>
    <row r="59">
      <c r="A59" s="13" t="n"/>
      <c r="B59" s="11" t="n"/>
      <c r="C59" s="11" t="n"/>
      <c r="D59" s="11" t="n"/>
      <c r="E59" s="18" t="n"/>
      <c r="F59" s="11" t="n"/>
    </row>
    <row r="60">
      <c r="A60" s="13" t="n"/>
      <c r="B60" s="11" t="n"/>
      <c r="C60" s="11" t="n"/>
      <c r="D60" s="11" t="n"/>
      <c r="E60" s="18" t="n"/>
      <c r="F60" s="11" t="n"/>
    </row>
    <row r="62">
      <c r="A62" s="2" t="inlineStr">
        <is>
          <t>TOTAL ABONADO:</t>
        </is>
      </c>
      <c r="E62" s="19">
        <f>SUM(E3:E60)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30" customWidth="1" min="4" max="4"/>
    <col width="16" customWidth="1" min="5" max="5"/>
    <col width="30" customWidth="1" min="6" max="6"/>
  </cols>
  <sheetData>
    <row r="1" ht="28" customHeight="1">
      <c r="A1" s="1" t="inlineStr">
        <is>
          <t>🧾 GASTOS DEL VIAJE</t>
        </is>
      </c>
    </row>
    <row r="2" ht="32" customHeight="1">
      <c r="A2" s="10" t="inlineStr">
        <is>
          <t>Fecha</t>
        </is>
      </c>
      <c r="B2" s="10" t="inlineStr">
        <is>
          <t>Quién pagó</t>
        </is>
      </c>
      <c r="C2" s="10" t="inlineStr">
        <is>
          <t>Categoría</t>
        </is>
      </c>
      <c r="D2" s="10" t="inlineStr">
        <is>
          <t>Descripción</t>
        </is>
      </c>
      <c r="E2" s="10" t="inlineStr">
        <is>
          <t>Valor</t>
        </is>
      </c>
      <c r="F2" s="10" t="inlineStr">
        <is>
          <t>Nota</t>
        </is>
      </c>
    </row>
    <row r="3">
      <c r="A3" s="13" t="n"/>
      <c r="B3" s="11" t="n"/>
      <c r="C3" s="11" t="n"/>
      <c r="D3" s="11" t="n"/>
      <c r="E3" s="18" t="n"/>
      <c r="F3" s="11" t="n"/>
    </row>
    <row r="4">
      <c r="A4" s="13" t="n"/>
      <c r="B4" s="11" t="n"/>
      <c r="C4" s="11" t="n"/>
      <c r="D4" s="11" t="n"/>
      <c r="E4" s="18" t="n"/>
      <c r="F4" s="11" t="n"/>
    </row>
    <row r="5">
      <c r="A5" s="13" t="n"/>
      <c r="B5" s="11" t="n"/>
      <c r="C5" s="11" t="n"/>
      <c r="D5" s="11" t="n"/>
      <c r="E5" s="18" t="n"/>
      <c r="F5" s="11" t="n"/>
    </row>
    <row r="6">
      <c r="A6" s="13" t="n"/>
      <c r="B6" s="11" t="n"/>
      <c r="C6" s="11" t="n"/>
      <c r="D6" s="11" t="n"/>
      <c r="E6" s="18" t="n"/>
      <c r="F6" s="11" t="n"/>
    </row>
    <row r="7">
      <c r="A7" s="13" t="n"/>
      <c r="B7" s="11" t="n"/>
      <c r="C7" s="11" t="n"/>
      <c r="D7" s="11" t="n"/>
      <c r="E7" s="18" t="n"/>
      <c r="F7" s="11" t="n"/>
    </row>
    <row r="8">
      <c r="A8" s="13" t="n"/>
      <c r="B8" s="11" t="n"/>
      <c r="C8" s="11" t="n"/>
      <c r="D8" s="11" t="n"/>
      <c r="E8" s="18" t="n"/>
      <c r="F8" s="11" t="n"/>
    </row>
    <row r="9">
      <c r="A9" s="13" t="n"/>
      <c r="B9" s="11" t="n"/>
      <c r="C9" s="11" t="n"/>
      <c r="D9" s="11" t="n"/>
      <c r="E9" s="18" t="n"/>
      <c r="F9" s="11" t="n"/>
    </row>
    <row r="10">
      <c r="A10" s="13" t="n"/>
      <c r="B10" s="11" t="n"/>
      <c r="C10" s="11" t="n"/>
      <c r="D10" s="11" t="n"/>
      <c r="E10" s="18" t="n"/>
      <c r="F10" s="11" t="n"/>
    </row>
    <row r="11">
      <c r="A11" s="13" t="n"/>
      <c r="B11" s="11" t="n"/>
      <c r="C11" s="11" t="n"/>
      <c r="D11" s="11" t="n"/>
      <c r="E11" s="18" t="n"/>
      <c r="F11" s="11" t="n"/>
    </row>
    <row r="12">
      <c r="A12" s="13" t="n"/>
      <c r="B12" s="11" t="n"/>
      <c r="C12" s="11" t="n"/>
      <c r="D12" s="11" t="n"/>
      <c r="E12" s="18" t="n"/>
      <c r="F12" s="11" t="n"/>
    </row>
    <row r="13">
      <c r="A13" s="13" t="n"/>
      <c r="B13" s="11" t="n"/>
      <c r="C13" s="11" t="n"/>
      <c r="D13" s="11" t="n"/>
      <c r="E13" s="18" t="n"/>
      <c r="F13" s="11" t="n"/>
    </row>
    <row r="14">
      <c r="A14" s="13" t="n"/>
      <c r="B14" s="11" t="n"/>
      <c r="C14" s="11" t="n"/>
      <c r="D14" s="11" t="n"/>
      <c r="E14" s="18" t="n"/>
      <c r="F14" s="11" t="n"/>
    </row>
    <row r="15">
      <c r="A15" s="13" t="n"/>
      <c r="B15" s="11" t="n"/>
      <c r="C15" s="11" t="n"/>
      <c r="D15" s="11" t="n"/>
      <c r="E15" s="18" t="n"/>
      <c r="F15" s="11" t="n"/>
    </row>
    <row r="16">
      <c r="A16" s="13" t="n"/>
      <c r="B16" s="11" t="n"/>
      <c r="C16" s="11" t="n"/>
      <c r="D16" s="11" t="n"/>
      <c r="E16" s="18" t="n"/>
      <c r="F16" s="11" t="n"/>
    </row>
    <row r="17">
      <c r="A17" s="13" t="n"/>
      <c r="B17" s="11" t="n"/>
      <c r="C17" s="11" t="n"/>
      <c r="D17" s="11" t="n"/>
      <c r="E17" s="18" t="n"/>
      <c r="F17" s="11" t="n"/>
    </row>
    <row r="18">
      <c r="A18" s="13" t="n"/>
      <c r="B18" s="11" t="n"/>
      <c r="C18" s="11" t="n"/>
      <c r="D18" s="11" t="n"/>
      <c r="E18" s="18" t="n"/>
      <c r="F18" s="11" t="n"/>
    </row>
    <row r="19">
      <c r="A19" s="13" t="n"/>
      <c r="B19" s="11" t="n"/>
      <c r="C19" s="11" t="n"/>
      <c r="D19" s="11" t="n"/>
      <c r="E19" s="18" t="n"/>
      <c r="F19" s="11" t="n"/>
    </row>
    <row r="20">
      <c r="A20" s="13" t="n"/>
      <c r="B20" s="11" t="n"/>
      <c r="C20" s="11" t="n"/>
      <c r="D20" s="11" t="n"/>
      <c r="E20" s="18" t="n"/>
      <c r="F20" s="11" t="n"/>
    </row>
    <row r="21">
      <c r="A21" s="13" t="n"/>
      <c r="B21" s="11" t="n"/>
      <c r="C21" s="11" t="n"/>
      <c r="D21" s="11" t="n"/>
      <c r="E21" s="18" t="n"/>
      <c r="F21" s="11" t="n"/>
    </row>
    <row r="22">
      <c r="A22" s="13" t="n"/>
      <c r="B22" s="11" t="n"/>
      <c r="C22" s="11" t="n"/>
      <c r="D22" s="11" t="n"/>
      <c r="E22" s="18" t="n"/>
      <c r="F22" s="11" t="n"/>
    </row>
    <row r="23">
      <c r="A23" s="13" t="n"/>
      <c r="B23" s="11" t="n"/>
      <c r="C23" s="11" t="n"/>
      <c r="D23" s="11" t="n"/>
      <c r="E23" s="18" t="n"/>
      <c r="F23" s="11" t="n"/>
    </row>
    <row r="24">
      <c r="A24" s="13" t="n"/>
      <c r="B24" s="11" t="n"/>
      <c r="C24" s="11" t="n"/>
      <c r="D24" s="11" t="n"/>
      <c r="E24" s="18" t="n"/>
      <c r="F24" s="11" t="n"/>
    </row>
    <row r="25">
      <c r="A25" s="13" t="n"/>
      <c r="B25" s="11" t="n"/>
      <c r="C25" s="11" t="n"/>
      <c r="D25" s="11" t="n"/>
      <c r="E25" s="18" t="n"/>
      <c r="F25" s="11" t="n"/>
    </row>
    <row r="26">
      <c r="A26" s="13" t="n"/>
      <c r="B26" s="11" t="n"/>
      <c r="C26" s="11" t="n"/>
      <c r="D26" s="11" t="n"/>
      <c r="E26" s="18" t="n"/>
      <c r="F26" s="11" t="n"/>
    </row>
    <row r="27">
      <c r="A27" s="13" t="n"/>
      <c r="B27" s="11" t="n"/>
      <c r="C27" s="11" t="n"/>
      <c r="D27" s="11" t="n"/>
      <c r="E27" s="18" t="n"/>
      <c r="F27" s="11" t="n"/>
    </row>
    <row r="28">
      <c r="A28" s="13" t="n"/>
      <c r="B28" s="11" t="n"/>
      <c r="C28" s="11" t="n"/>
      <c r="D28" s="11" t="n"/>
      <c r="E28" s="18" t="n"/>
      <c r="F28" s="11" t="n"/>
    </row>
    <row r="29">
      <c r="A29" s="13" t="n"/>
      <c r="B29" s="11" t="n"/>
      <c r="C29" s="11" t="n"/>
      <c r="D29" s="11" t="n"/>
      <c r="E29" s="18" t="n"/>
      <c r="F29" s="11" t="n"/>
    </row>
    <row r="30">
      <c r="A30" s="13" t="n"/>
      <c r="B30" s="11" t="n"/>
      <c r="C30" s="11" t="n"/>
      <c r="D30" s="11" t="n"/>
      <c r="E30" s="18" t="n"/>
      <c r="F30" s="11" t="n"/>
    </row>
    <row r="31">
      <c r="A31" s="13" t="n"/>
      <c r="B31" s="11" t="n"/>
      <c r="C31" s="11" t="n"/>
      <c r="D31" s="11" t="n"/>
      <c r="E31" s="18" t="n"/>
      <c r="F31" s="11" t="n"/>
    </row>
    <row r="32">
      <c r="A32" s="13" t="n"/>
      <c r="B32" s="11" t="n"/>
      <c r="C32" s="11" t="n"/>
      <c r="D32" s="11" t="n"/>
      <c r="E32" s="18" t="n"/>
      <c r="F32" s="11" t="n"/>
    </row>
    <row r="33">
      <c r="A33" s="13" t="n"/>
      <c r="B33" s="11" t="n"/>
      <c r="C33" s="11" t="n"/>
      <c r="D33" s="11" t="n"/>
      <c r="E33" s="18" t="n"/>
      <c r="F33" s="11" t="n"/>
    </row>
    <row r="34">
      <c r="A34" s="13" t="n"/>
      <c r="B34" s="11" t="n"/>
      <c r="C34" s="11" t="n"/>
      <c r="D34" s="11" t="n"/>
      <c r="E34" s="18" t="n"/>
      <c r="F34" s="11" t="n"/>
    </row>
    <row r="35">
      <c r="A35" s="13" t="n"/>
      <c r="B35" s="11" t="n"/>
      <c r="C35" s="11" t="n"/>
      <c r="D35" s="11" t="n"/>
      <c r="E35" s="18" t="n"/>
      <c r="F35" s="11" t="n"/>
    </row>
    <row r="36">
      <c r="A36" s="13" t="n"/>
      <c r="B36" s="11" t="n"/>
      <c r="C36" s="11" t="n"/>
      <c r="D36" s="11" t="n"/>
      <c r="E36" s="18" t="n"/>
      <c r="F36" s="11" t="n"/>
    </row>
    <row r="37">
      <c r="A37" s="13" t="n"/>
      <c r="B37" s="11" t="n"/>
      <c r="C37" s="11" t="n"/>
      <c r="D37" s="11" t="n"/>
      <c r="E37" s="18" t="n"/>
      <c r="F37" s="11" t="n"/>
    </row>
    <row r="38">
      <c r="A38" s="13" t="n"/>
      <c r="B38" s="11" t="n"/>
      <c r="C38" s="11" t="n"/>
      <c r="D38" s="11" t="n"/>
      <c r="E38" s="18" t="n"/>
      <c r="F38" s="11" t="n"/>
    </row>
    <row r="39">
      <c r="A39" s="13" t="n"/>
      <c r="B39" s="11" t="n"/>
      <c r="C39" s="11" t="n"/>
      <c r="D39" s="11" t="n"/>
      <c r="E39" s="18" t="n"/>
      <c r="F39" s="11" t="n"/>
    </row>
    <row r="40">
      <c r="A40" s="13" t="n"/>
      <c r="B40" s="11" t="n"/>
      <c r="C40" s="11" t="n"/>
      <c r="D40" s="11" t="n"/>
      <c r="E40" s="18" t="n"/>
      <c r="F40" s="11" t="n"/>
    </row>
    <row r="41">
      <c r="A41" s="13" t="n"/>
      <c r="B41" s="11" t="n"/>
      <c r="C41" s="11" t="n"/>
      <c r="D41" s="11" t="n"/>
      <c r="E41" s="18" t="n"/>
      <c r="F41" s="11" t="n"/>
    </row>
    <row r="42">
      <c r="A42" s="13" t="n"/>
      <c r="B42" s="11" t="n"/>
      <c r="C42" s="11" t="n"/>
      <c r="D42" s="11" t="n"/>
      <c r="E42" s="18" t="n"/>
      <c r="F42" s="11" t="n"/>
    </row>
    <row r="43">
      <c r="A43" s="13" t="n"/>
      <c r="B43" s="11" t="n"/>
      <c r="C43" s="11" t="n"/>
      <c r="D43" s="11" t="n"/>
      <c r="E43" s="18" t="n"/>
      <c r="F43" s="11" t="n"/>
    </row>
    <row r="44">
      <c r="A44" s="13" t="n"/>
      <c r="B44" s="11" t="n"/>
      <c r="C44" s="11" t="n"/>
      <c r="D44" s="11" t="n"/>
      <c r="E44" s="18" t="n"/>
      <c r="F44" s="11" t="n"/>
    </row>
    <row r="45">
      <c r="A45" s="13" t="n"/>
      <c r="B45" s="11" t="n"/>
      <c r="C45" s="11" t="n"/>
      <c r="D45" s="11" t="n"/>
      <c r="E45" s="18" t="n"/>
      <c r="F45" s="11" t="n"/>
    </row>
    <row r="46">
      <c r="A46" s="13" t="n"/>
      <c r="B46" s="11" t="n"/>
      <c r="C46" s="11" t="n"/>
      <c r="D46" s="11" t="n"/>
      <c r="E46" s="18" t="n"/>
      <c r="F46" s="11" t="n"/>
    </row>
    <row r="47">
      <c r="A47" s="13" t="n"/>
      <c r="B47" s="11" t="n"/>
      <c r="C47" s="11" t="n"/>
      <c r="D47" s="11" t="n"/>
      <c r="E47" s="18" t="n"/>
      <c r="F47" s="11" t="n"/>
    </row>
    <row r="48">
      <c r="A48" s="13" t="n"/>
      <c r="B48" s="11" t="n"/>
      <c r="C48" s="11" t="n"/>
      <c r="D48" s="11" t="n"/>
      <c r="E48" s="18" t="n"/>
      <c r="F48" s="11" t="n"/>
    </row>
    <row r="49">
      <c r="A49" s="13" t="n"/>
      <c r="B49" s="11" t="n"/>
      <c r="C49" s="11" t="n"/>
      <c r="D49" s="11" t="n"/>
      <c r="E49" s="18" t="n"/>
      <c r="F49" s="11" t="n"/>
    </row>
    <row r="50">
      <c r="A50" s="13" t="n"/>
      <c r="B50" s="11" t="n"/>
      <c r="C50" s="11" t="n"/>
      <c r="D50" s="11" t="n"/>
      <c r="E50" s="18" t="n"/>
      <c r="F50" s="11" t="n"/>
    </row>
    <row r="51">
      <c r="A51" s="13" t="n"/>
      <c r="B51" s="11" t="n"/>
      <c r="C51" s="11" t="n"/>
      <c r="D51" s="11" t="n"/>
      <c r="E51" s="18" t="n"/>
      <c r="F51" s="11" t="n"/>
    </row>
    <row r="52">
      <c r="A52" s="13" t="n"/>
      <c r="B52" s="11" t="n"/>
      <c r="C52" s="11" t="n"/>
      <c r="D52" s="11" t="n"/>
      <c r="E52" s="18" t="n"/>
      <c r="F52" s="11" t="n"/>
    </row>
    <row r="53">
      <c r="A53" s="13" t="n"/>
      <c r="B53" s="11" t="n"/>
      <c r="C53" s="11" t="n"/>
      <c r="D53" s="11" t="n"/>
      <c r="E53" s="18" t="n"/>
      <c r="F53" s="11" t="n"/>
    </row>
    <row r="54">
      <c r="A54" s="13" t="n"/>
      <c r="B54" s="11" t="n"/>
      <c r="C54" s="11" t="n"/>
      <c r="D54" s="11" t="n"/>
      <c r="E54" s="18" t="n"/>
      <c r="F54" s="11" t="n"/>
    </row>
    <row r="55">
      <c r="A55" s="13" t="n"/>
      <c r="B55" s="11" t="n"/>
      <c r="C55" s="11" t="n"/>
      <c r="D55" s="11" t="n"/>
      <c r="E55" s="18" t="n"/>
      <c r="F55" s="11" t="n"/>
    </row>
    <row r="56">
      <c r="A56" s="13" t="n"/>
      <c r="B56" s="11" t="n"/>
      <c r="C56" s="11" t="n"/>
      <c r="D56" s="11" t="n"/>
      <c r="E56" s="18" t="n"/>
      <c r="F56" s="11" t="n"/>
    </row>
    <row r="57">
      <c r="A57" s="13" t="n"/>
      <c r="B57" s="11" t="n"/>
      <c r="C57" s="11" t="n"/>
      <c r="D57" s="11" t="n"/>
      <c r="E57" s="18" t="n"/>
      <c r="F57" s="11" t="n"/>
    </row>
    <row r="58">
      <c r="A58" s="13" t="n"/>
      <c r="B58" s="11" t="n"/>
      <c r="C58" s="11" t="n"/>
      <c r="D58" s="11" t="n"/>
      <c r="E58" s="18" t="n"/>
      <c r="F58" s="11" t="n"/>
    </row>
    <row r="59">
      <c r="A59" s="13" t="n"/>
      <c r="B59" s="11" t="n"/>
      <c r="C59" s="11" t="n"/>
      <c r="D59" s="11" t="n"/>
      <c r="E59" s="18" t="n"/>
      <c r="F59" s="11" t="n"/>
    </row>
    <row r="60">
      <c r="A60" s="13" t="n"/>
      <c r="B60" s="11" t="n"/>
      <c r="C60" s="11" t="n"/>
      <c r="D60" s="11" t="n"/>
      <c r="E60" s="18" t="n"/>
      <c r="F60" s="11" t="n"/>
    </row>
    <row r="61">
      <c r="A61" s="13" t="n"/>
      <c r="B61" s="11" t="n"/>
      <c r="C61" s="11" t="n"/>
      <c r="D61" s="11" t="n"/>
      <c r="E61" s="18" t="n"/>
      <c r="F61" s="11" t="n"/>
    </row>
    <row r="62">
      <c r="A62" s="13" t="n"/>
      <c r="B62" s="11" t="n"/>
      <c r="C62" s="11" t="n"/>
      <c r="D62" s="11" t="n"/>
      <c r="E62" s="18" t="n"/>
      <c r="F62" s="11" t="n"/>
    </row>
    <row r="63">
      <c r="A63" s="13" t="n"/>
      <c r="B63" s="11" t="n"/>
      <c r="C63" s="11" t="n"/>
      <c r="D63" s="11" t="n"/>
      <c r="E63" s="18" t="n"/>
      <c r="F63" s="11" t="n"/>
    </row>
    <row r="64">
      <c r="A64" s="13" t="n"/>
      <c r="B64" s="11" t="n"/>
      <c r="C64" s="11" t="n"/>
      <c r="D64" s="11" t="n"/>
      <c r="E64" s="18" t="n"/>
      <c r="F64" s="11" t="n"/>
    </row>
    <row r="65">
      <c r="A65" s="13" t="n"/>
      <c r="B65" s="11" t="n"/>
      <c r="C65" s="11" t="n"/>
      <c r="D65" s="11" t="n"/>
      <c r="E65" s="18" t="n"/>
      <c r="F65" s="11" t="n"/>
    </row>
    <row r="66">
      <c r="A66" s="13" t="n"/>
      <c r="B66" s="11" t="n"/>
      <c r="C66" s="11" t="n"/>
      <c r="D66" s="11" t="n"/>
      <c r="E66" s="18" t="n"/>
      <c r="F66" s="11" t="n"/>
    </row>
    <row r="67">
      <c r="A67" s="13" t="n"/>
      <c r="B67" s="11" t="n"/>
      <c r="C67" s="11" t="n"/>
      <c r="D67" s="11" t="n"/>
      <c r="E67" s="18" t="n"/>
      <c r="F67" s="11" t="n"/>
    </row>
    <row r="68">
      <c r="A68" s="13" t="n"/>
      <c r="B68" s="11" t="n"/>
      <c r="C68" s="11" t="n"/>
      <c r="D68" s="11" t="n"/>
      <c r="E68" s="18" t="n"/>
      <c r="F68" s="11" t="n"/>
    </row>
    <row r="69">
      <c r="A69" s="13" t="n"/>
      <c r="B69" s="11" t="n"/>
      <c r="C69" s="11" t="n"/>
      <c r="D69" s="11" t="n"/>
      <c r="E69" s="18" t="n"/>
      <c r="F69" s="11" t="n"/>
    </row>
    <row r="70">
      <c r="A70" s="13" t="n"/>
      <c r="B70" s="11" t="n"/>
      <c r="C70" s="11" t="n"/>
      <c r="D70" s="11" t="n"/>
      <c r="E70" s="18" t="n"/>
      <c r="F70" s="11" t="n"/>
    </row>
    <row r="71">
      <c r="A71" s="13" t="n"/>
      <c r="B71" s="11" t="n"/>
      <c r="C71" s="11" t="n"/>
      <c r="D71" s="11" t="n"/>
      <c r="E71" s="18" t="n"/>
      <c r="F71" s="11" t="n"/>
    </row>
    <row r="72">
      <c r="A72" s="13" t="n"/>
      <c r="B72" s="11" t="n"/>
      <c r="C72" s="11" t="n"/>
      <c r="D72" s="11" t="n"/>
      <c r="E72" s="18" t="n"/>
      <c r="F72" s="11" t="n"/>
    </row>
    <row r="73">
      <c r="A73" s="13" t="n"/>
      <c r="B73" s="11" t="n"/>
      <c r="C73" s="11" t="n"/>
      <c r="D73" s="11" t="n"/>
      <c r="E73" s="18" t="n"/>
      <c r="F73" s="11" t="n"/>
    </row>
    <row r="74">
      <c r="A74" s="13" t="n"/>
      <c r="B74" s="11" t="n"/>
      <c r="C74" s="11" t="n"/>
      <c r="D74" s="11" t="n"/>
      <c r="E74" s="18" t="n"/>
      <c r="F74" s="11" t="n"/>
    </row>
    <row r="75">
      <c r="A75" s="13" t="n"/>
      <c r="B75" s="11" t="n"/>
      <c r="C75" s="11" t="n"/>
      <c r="D75" s="11" t="n"/>
      <c r="E75" s="18" t="n"/>
      <c r="F75" s="11" t="n"/>
    </row>
    <row r="76">
      <c r="A76" s="13" t="n"/>
      <c r="B76" s="11" t="n"/>
      <c r="C76" s="11" t="n"/>
      <c r="D76" s="11" t="n"/>
      <c r="E76" s="18" t="n"/>
      <c r="F76" s="11" t="n"/>
    </row>
    <row r="77">
      <c r="A77" s="13" t="n"/>
      <c r="B77" s="11" t="n"/>
      <c r="C77" s="11" t="n"/>
      <c r="D77" s="11" t="n"/>
      <c r="E77" s="18" t="n"/>
      <c r="F77" s="11" t="n"/>
    </row>
    <row r="78">
      <c r="A78" s="13" t="n"/>
      <c r="B78" s="11" t="n"/>
      <c r="C78" s="11" t="n"/>
      <c r="D78" s="11" t="n"/>
      <c r="E78" s="18" t="n"/>
      <c r="F78" s="11" t="n"/>
    </row>
    <row r="79">
      <c r="A79" s="13" t="n"/>
      <c r="B79" s="11" t="n"/>
      <c r="C79" s="11" t="n"/>
      <c r="D79" s="11" t="n"/>
      <c r="E79" s="18" t="n"/>
      <c r="F79" s="11" t="n"/>
    </row>
    <row r="80">
      <c r="A80" s="13" t="n"/>
      <c r="B80" s="11" t="n"/>
      <c r="C80" s="11" t="n"/>
      <c r="D80" s="11" t="n"/>
      <c r="E80" s="18" t="n"/>
      <c r="F80" s="11" t="n"/>
    </row>
    <row r="81">
      <c r="A81" s="13" t="n"/>
      <c r="B81" s="11" t="n"/>
      <c r="C81" s="11" t="n"/>
      <c r="D81" s="11" t="n"/>
      <c r="E81" s="18" t="n"/>
      <c r="F81" s="11" t="n"/>
    </row>
    <row r="82">
      <c r="A82" s="13" t="n"/>
      <c r="B82" s="11" t="n"/>
      <c r="C82" s="11" t="n"/>
      <c r="D82" s="11" t="n"/>
      <c r="E82" s="18" t="n"/>
      <c r="F82" s="11" t="n"/>
    </row>
    <row r="83">
      <c r="A83" s="13" t="n"/>
      <c r="B83" s="11" t="n"/>
      <c r="C83" s="11" t="n"/>
      <c r="D83" s="11" t="n"/>
      <c r="E83" s="18" t="n"/>
      <c r="F83" s="11" t="n"/>
    </row>
    <row r="84">
      <c r="A84" s="13" t="n"/>
      <c r="B84" s="11" t="n"/>
      <c r="C84" s="11" t="n"/>
      <c r="D84" s="11" t="n"/>
      <c r="E84" s="18" t="n"/>
      <c r="F84" s="11" t="n"/>
    </row>
    <row r="85">
      <c r="A85" s="13" t="n"/>
      <c r="B85" s="11" t="n"/>
      <c r="C85" s="11" t="n"/>
      <c r="D85" s="11" t="n"/>
      <c r="E85" s="18" t="n"/>
      <c r="F85" s="11" t="n"/>
    </row>
    <row r="86">
      <c r="A86" s="13" t="n"/>
      <c r="B86" s="11" t="n"/>
      <c r="C86" s="11" t="n"/>
      <c r="D86" s="11" t="n"/>
      <c r="E86" s="18" t="n"/>
      <c r="F86" s="11" t="n"/>
    </row>
    <row r="87">
      <c r="A87" s="13" t="n"/>
      <c r="B87" s="11" t="n"/>
      <c r="C87" s="11" t="n"/>
      <c r="D87" s="11" t="n"/>
      <c r="E87" s="18" t="n"/>
      <c r="F87" s="11" t="n"/>
    </row>
    <row r="88">
      <c r="A88" s="13" t="n"/>
      <c r="B88" s="11" t="n"/>
      <c r="C88" s="11" t="n"/>
      <c r="D88" s="11" t="n"/>
      <c r="E88" s="18" t="n"/>
      <c r="F88" s="11" t="n"/>
    </row>
    <row r="89">
      <c r="A89" s="13" t="n"/>
      <c r="B89" s="11" t="n"/>
      <c r="C89" s="11" t="n"/>
      <c r="D89" s="11" t="n"/>
      <c r="E89" s="18" t="n"/>
      <c r="F89" s="11" t="n"/>
    </row>
    <row r="90">
      <c r="A90" s="13" t="n"/>
      <c r="B90" s="11" t="n"/>
      <c r="C90" s="11" t="n"/>
      <c r="D90" s="11" t="n"/>
      <c r="E90" s="18" t="n"/>
      <c r="F90" s="11" t="n"/>
    </row>
    <row r="91">
      <c r="A91" s="13" t="n"/>
      <c r="B91" s="11" t="n"/>
      <c r="C91" s="11" t="n"/>
      <c r="D91" s="11" t="n"/>
      <c r="E91" s="18" t="n"/>
      <c r="F91" s="11" t="n"/>
    </row>
    <row r="92">
      <c r="A92" s="13" t="n"/>
      <c r="B92" s="11" t="n"/>
      <c r="C92" s="11" t="n"/>
      <c r="D92" s="11" t="n"/>
      <c r="E92" s="18" t="n"/>
      <c r="F92" s="11" t="n"/>
    </row>
    <row r="93">
      <c r="A93" s="13" t="n"/>
      <c r="B93" s="11" t="n"/>
      <c r="C93" s="11" t="n"/>
      <c r="D93" s="11" t="n"/>
      <c r="E93" s="18" t="n"/>
      <c r="F93" s="11" t="n"/>
    </row>
    <row r="94">
      <c r="A94" s="13" t="n"/>
      <c r="B94" s="11" t="n"/>
      <c r="C94" s="11" t="n"/>
      <c r="D94" s="11" t="n"/>
      <c r="E94" s="18" t="n"/>
      <c r="F94" s="11" t="n"/>
    </row>
    <row r="95">
      <c r="A95" s="13" t="n"/>
      <c r="B95" s="11" t="n"/>
      <c r="C95" s="11" t="n"/>
      <c r="D95" s="11" t="n"/>
      <c r="E95" s="18" t="n"/>
      <c r="F95" s="11" t="n"/>
    </row>
    <row r="96">
      <c r="A96" s="13" t="n"/>
      <c r="B96" s="11" t="n"/>
      <c r="C96" s="11" t="n"/>
      <c r="D96" s="11" t="n"/>
      <c r="E96" s="18" t="n"/>
      <c r="F96" s="11" t="n"/>
    </row>
    <row r="97">
      <c r="A97" s="13" t="n"/>
      <c r="B97" s="11" t="n"/>
      <c r="C97" s="11" t="n"/>
      <c r="D97" s="11" t="n"/>
      <c r="E97" s="18" t="n"/>
      <c r="F97" s="11" t="n"/>
    </row>
    <row r="98">
      <c r="A98" s="13" t="n"/>
      <c r="B98" s="11" t="n"/>
      <c r="C98" s="11" t="n"/>
      <c r="D98" s="11" t="n"/>
      <c r="E98" s="18" t="n"/>
      <c r="F98" s="11" t="n"/>
    </row>
    <row r="99">
      <c r="A99" s="13" t="n"/>
      <c r="B99" s="11" t="n"/>
      <c r="C99" s="11" t="n"/>
      <c r="D99" s="11" t="n"/>
      <c r="E99" s="18" t="n"/>
      <c r="F99" s="11" t="n"/>
    </row>
    <row r="100">
      <c r="A100" s="13" t="n"/>
      <c r="B100" s="11" t="n"/>
      <c r="C100" s="11" t="n"/>
      <c r="D100" s="11" t="n"/>
      <c r="E100" s="18" t="n"/>
      <c r="F100" s="11" t="n"/>
    </row>
    <row r="102">
      <c r="A102" s="2" t="inlineStr">
        <is>
          <t>TOTAL GASTOS:</t>
        </is>
      </c>
      <c r="E102" s="19">
        <f>SUM(E3:E100)</f>
        <v/>
      </c>
    </row>
  </sheetData>
  <mergeCells count="1">
    <mergeCell ref="A1:F1"/>
  </mergeCells>
  <dataValidations count="1">
    <dataValidation sqref="C3:C100" showDropDown="0" showInputMessage="0" showErrorMessage="0" allowBlank="1" type="list">
      <formula1>"Comida/Mercado/Bebidas,Transporte,Actividades/Paseos,Otros"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8" customHeight="1">
      <c r="A1" s="1" t="inlineStr">
        <is>
          <t>⚖️ BALANCE POR PERSONA</t>
        </is>
      </c>
    </row>
    <row r="2" ht="32" customHeight="1">
      <c r="A2" s="10" t="inlineStr">
        <is>
          <t>Nombre</t>
        </is>
      </c>
      <c r="B2" s="10" t="inlineStr">
        <is>
          <t>Grupo familiar</t>
        </is>
      </c>
      <c r="C2" s="10" t="inlineStr">
        <is>
          <t>Noches</t>
        </is>
      </c>
      <c r="D2" s="10" t="inlineStr">
        <is>
          <t>Costo cabaña
(prorrateado)</t>
        </is>
      </c>
      <c r="E2" s="10" t="inlineStr">
        <is>
          <t>Parte gastos
variables</t>
        </is>
      </c>
      <c r="F2" s="10" t="inlineStr">
        <is>
          <t>Total a cargo</t>
        </is>
      </c>
      <c r="G2" s="10" t="inlineStr">
        <is>
          <t>Total abonado</t>
        </is>
      </c>
      <c r="H2" s="10" t="inlineStr">
        <is>
          <t>Saldo
(a favor / debe)</t>
        </is>
      </c>
    </row>
    <row r="3">
      <c r="A3" s="11">
        <f>Personas!A3</f>
        <v/>
      </c>
      <c r="B3" s="11">
        <f>Personas!B3</f>
        <v/>
      </c>
      <c r="C3" s="11">
        <f>Personas!C3</f>
        <v/>
      </c>
      <c r="D3" s="18">
        <f>Personas!C3*(Cabaña!$B$5/Personas!$C$17)</f>
        <v/>
      </c>
      <c r="E3" s="18">
        <f>IF(Personas!D3="Sí",Gastos!$E$102/COUNTIF(Personas!$D$3:$D$15,"Sí"),0)</f>
        <v/>
      </c>
      <c r="F3" s="18">
        <f>D3+E3</f>
        <v/>
      </c>
      <c r="G3" s="18">
        <f>SUMIF(Abonos!$B$3:$B$60,A3,Abonos!$E$3:$E$60)</f>
        <v/>
      </c>
      <c r="H3" s="18">
        <f>G3-F3</f>
        <v/>
      </c>
    </row>
    <row r="4">
      <c r="A4" s="11">
        <f>Personas!A4</f>
        <v/>
      </c>
      <c r="B4" s="11">
        <f>Personas!B4</f>
        <v/>
      </c>
      <c r="C4" s="11">
        <f>Personas!C4</f>
        <v/>
      </c>
      <c r="D4" s="18">
        <f>Personas!C4*(Cabaña!$B$5/Personas!$C$17)</f>
        <v/>
      </c>
      <c r="E4" s="18">
        <f>IF(Personas!D4="Sí",Gastos!$E$102/COUNTIF(Personas!$D$3:$D$15,"Sí"),0)</f>
        <v/>
      </c>
      <c r="F4" s="18">
        <f>D4+E4</f>
        <v/>
      </c>
      <c r="G4" s="18">
        <f>SUMIF(Abonos!$B$3:$B$60,A4,Abonos!$E$3:$E$60)</f>
        <v/>
      </c>
      <c r="H4" s="18">
        <f>G4-F4</f>
        <v/>
      </c>
    </row>
    <row r="5">
      <c r="A5" s="11">
        <f>Personas!A5</f>
        <v/>
      </c>
      <c r="B5" s="11">
        <f>Personas!B5</f>
        <v/>
      </c>
      <c r="C5" s="11">
        <f>Personas!C5</f>
        <v/>
      </c>
      <c r="D5" s="18">
        <f>Personas!C5*(Cabaña!$B$5/Personas!$C$17)</f>
        <v/>
      </c>
      <c r="E5" s="18">
        <f>IF(Personas!D5="Sí",Gastos!$E$102/COUNTIF(Personas!$D$3:$D$15,"Sí"),0)</f>
        <v/>
      </c>
      <c r="F5" s="18">
        <f>D5+E5</f>
        <v/>
      </c>
      <c r="G5" s="18">
        <f>SUMIF(Abonos!$B$3:$B$60,A5,Abonos!$E$3:$E$60)</f>
        <v/>
      </c>
      <c r="H5" s="18">
        <f>G5-F5</f>
        <v/>
      </c>
    </row>
    <row r="6">
      <c r="A6" s="11">
        <f>Personas!A6</f>
        <v/>
      </c>
      <c r="B6" s="11">
        <f>Personas!B6</f>
        <v/>
      </c>
      <c r="C6" s="11">
        <f>Personas!C6</f>
        <v/>
      </c>
      <c r="D6" s="18">
        <f>Personas!C6*(Cabaña!$B$5/Personas!$C$17)</f>
        <v/>
      </c>
      <c r="E6" s="18">
        <f>IF(Personas!D6="Sí",Gastos!$E$102/COUNTIF(Personas!$D$3:$D$15,"Sí"),0)</f>
        <v/>
      </c>
      <c r="F6" s="18">
        <f>D6+E6</f>
        <v/>
      </c>
      <c r="G6" s="18">
        <f>SUMIF(Abonos!$B$3:$B$60,A6,Abonos!$E$3:$E$60)</f>
        <v/>
      </c>
      <c r="H6" s="18">
        <f>G6-F6</f>
        <v/>
      </c>
    </row>
    <row r="7">
      <c r="A7" s="11">
        <f>Personas!A7</f>
        <v/>
      </c>
      <c r="B7" s="11">
        <f>Personas!B7</f>
        <v/>
      </c>
      <c r="C7" s="11">
        <f>Personas!C7</f>
        <v/>
      </c>
      <c r="D7" s="18">
        <f>Personas!C7*(Cabaña!$B$5/Personas!$C$17)</f>
        <v/>
      </c>
      <c r="E7" s="18">
        <f>IF(Personas!D7="Sí",Gastos!$E$102/COUNTIF(Personas!$D$3:$D$15,"Sí"),0)</f>
        <v/>
      </c>
      <c r="F7" s="18">
        <f>D7+E7</f>
        <v/>
      </c>
      <c r="G7" s="18">
        <f>SUMIF(Abonos!$B$3:$B$60,A7,Abonos!$E$3:$E$60)</f>
        <v/>
      </c>
      <c r="H7" s="18">
        <f>G7-F7</f>
        <v/>
      </c>
    </row>
    <row r="8">
      <c r="A8" s="11">
        <f>Personas!A8</f>
        <v/>
      </c>
      <c r="B8" s="11">
        <f>Personas!B8</f>
        <v/>
      </c>
      <c r="C8" s="11">
        <f>Personas!C8</f>
        <v/>
      </c>
      <c r="D8" s="18">
        <f>Personas!C8*(Cabaña!$B$5/Personas!$C$17)</f>
        <v/>
      </c>
      <c r="E8" s="18">
        <f>IF(Personas!D8="Sí",Gastos!$E$102/COUNTIF(Personas!$D$3:$D$15,"Sí"),0)</f>
        <v/>
      </c>
      <c r="F8" s="18">
        <f>D8+E8</f>
        <v/>
      </c>
      <c r="G8" s="18">
        <f>SUMIF(Abonos!$B$3:$B$60,A8,Abonos!$E$3:$E$60)</f>
        <v/>
      </c>
      <c r="H8" s="18">
        <f>G8-F8</f>
        <v/>
      </c>
    </row>
    <row r="9">
      <c r="A9" s="11">
        <f>Personas!A9</f>
        <v/>
      </c>
      <c r="B9" s="11">
        <f>Personas!B9</f>
        <v/>
      </c>
      <c r="C9" s="11">
        <f>Personas!C9</f>
        <v/>
      </c>
      <c r="D9" s="18">
        <f>Personas!C9*(Cabaña!$B$5/Personas!$C$17)</f>
        <v/>
      </c>
      <c r="E9" s="18">
        <f>IF(Personas!D9="Sí",Gastos!$E$102/COUNTIF(Personas!$D$3:$D$15,"Sí"),0)</f>
        <v/>
      </c>
      <c r="F9" s="18">
        <f>D9+E9</f>
        <v/>
      </c>
      <c r="G9" s="18">
        <f>SUMIF(Abonos!$B$3:$B$60,A9,Abonos!$E$3:$E$60)</f>
        <v/>
      </c>
      <c r="H9" s="18">
        <f>G9-F9</f>
        <v/>
      </c>
    </row>
    <row r="10">
      <c r="A10" s="11">
        <f>Personas!A10</f>
        <v/>
      </c>
      <c r="B10" s="11">
        <f>Personas!B10</f>
        <v/>
      </c>
      <c r="C10" s="11">
        <f>Personas!C10</f>
        <v/>
      </c>
      <c r="D10" s="18">
        <f>Personas!C10*(Cabaña!$B$5/Personas!$C$17)</f>
        <v/>
      </c>
      <c r="E10" s="18">
        <f>IF(Personas!D10="Sí",Gastos!$E$102/COUNTIF(Personas!$D$3:$D$15,"Sí"),0)</f>
        <v/>
      </c>
      <c r="F10" s="18">
        <f>D10+E10</f>
        <v/>
      </c>
      <c r="G10" s="18">
        <f>SUMIF(Abonos!$B$3:$B$60,A10,Abonos!$E$3:$E$60)</f>
        <v/>
      </c>
      <c r="H10" s="18">
        <f>G10-F10</f>
        <v/>
      </c>
    </row>
    <row r="11">
      <c r="A11" s="11">
        <f>Personas!A11</f>
        <v/>
      </c>
      <c r="B11" s="11">
        <f>Personas!B11</f>
        <v/>
      </c>
      <c r="C11" s="11">
        <f>Personas!C11</f>
        <v/>
      </c>
      <c r="D11" s="18">
        <f>Personas!C11*(Cabaña!$B$5/Personas!$C$17)</f>
        <v/>
      </c>
      <c r="E11" s="18">
        <f>IF(Personas!D11="Sí",Gastos!$E$102/COUNTIF(Personas!$D$3:$D$15,"Sí"),0)</f>
        <v/>
      </c>
      <c r="F11" s="18">
        <f>D11+E11</f>
        <v/>
      </c>
      <c r="G11" s="18">
        <f>SUMIF(Abonos!$B$3:$B$60,A11,Abonos!$E$3:$E$60)</f>
        <v/>
      </c>
      <c r="H11" s="18">
        <f>G11-F11</f>
        <v/>
      </c>
    </row>
    <row r="12">
      <c r="A12" s="11">
        <f>Personas!A12</f>
        <v/>
      </c>
      <c r="B12" s="11">
        <f>Personas!B12</f>
        <v/>
      </c>
      <c r="C12" s="11">
        <f>Personas!C12</f>
        <v/>
      </c>
      <c r="D12" s="18">
        <f>Personas!C12*(Cabaña!$B$5/Personas!$C$17)</f>
        <v/>
      </c>
      <c r="E12" s="18">
        <f>IF(Personas!D12="Sí",Gastos!$E$102/COUNTIF(Personas!$D$3:$D$15,"Sí"),0)</f>
        <v/>
      </c>
      <c r="F12" s="18">
        <f>D12+E12</f>
        <v/>
      </c>
      <c r="G12" s="18">
        <f>SUMIF(Abonos!$B$3:$B$60,A12,Abonos!$E$3:$E$60)</f>
        <v/>
      </c>
      <c r="H12" s="18">
        <f>G12-F12</f>
        <v/>
      </c>
    </row>
    <row r="13">
      <c r="A13" s="11">
        <f>Personas!A13</f>
        <v/>
      </c>
      <c r="B13" s="11">
        <f>Personas!B13</f>
        <v/>
      </c>
      <c r="C13" s="11">
        <f>Personas!C13</f>
        <v/>
      </c>
      <c r="D13" s="18">
        <f>Personas!C13*(Cabaña!$B$5/Personas!$C$17)</f>
        <v/>
      </c>
      <c r="E13" s="18">
        <f>IF(Personas!D13="Sí",Gastos!$E$102/COUNTIF(Personas!$D$3:$D$15,"Sí"),0)</f>
        <v/>
      </c>
      <c r="F13" s="18">
        <f>D13+E13</f>
        <v/>
      </c>
      <c r="G13" s="18">
        <f>SUMIF(Abonos!$B$3:$B$60,A13,Abonos!$E$3:$E$60)</f>
        <v/>
      </c>
      <c r="H13" s="18">
        <f>G13-F13</f>
        <v/>
      </c>
    </row>
    <row r="14">
      <c r="A14" s="11">
        <f>Personas!A14</f>
        <v/>
      </c>
      <c r="B14" s="11">
        <f>Personas!B14</f>
        <v/>
      </c>
      <c r="C14" s="11">
        <f>Personas!C14</f>
        <v/>
      </c>
      <c r="D14" s="18">
        <f>Personas!C14*(Cabaña!$B$5/Personas!$C$17)</f>
        <v/>
      </c>
      <c r="E14" s="18">
        <f>IF(Personas!D14="Sí",Gastos!$E$102/COUNTIF(Personas!$D$3:$D$15,"Sí"),0)</f>
        <v/>
      </c>
      <c r="F14" s="18">
        <f>D14+E14</f>
        <v/>
      </c>
      <c r="G14" s="18">
        <f>SUMIF(Abonos!$B$3:$B$60,A14,Abonos!$E$3:$E$60)</f>
        <v/>
      </c>
      <c r="H14" s="18">
        <f>G14-F14</f>
        <v/>
      </c>
    </row>
    <row r="15">
      <c r="A15" s="11">
        <f>Personas!A15</f>
        <v/>
      </c>
      <c r="B15" s="11">
        <f>Personas!B15</f>
        <v/>
      </c>
      <c r="C15" s="11">
        <f>Personas!C15</f>
        <v/>
      </c>
      <c r="D15" s="18">
        <f>Personas!C15*(Cabaña!$B$5/Personas!$C$17)</f>
        <v/>
      </c>
      <c r="E15" s="18">
        <f>IF(Personas!D15="Sí",Gastos!$E$102/COUNTIF(Personas!$D$3:$D$15,"Sí"),0)</f>
        <v/>
      </c>
      <c r="F15" s="18">
        <f>D15+E15</f>
        <v/>
      </c>
      <c r="G15" s="18">
        <f>SUMIF(Abonos!$B$3:$B$60,A15,Abonos!$E$3:$E$60)</f>
        <v/>
      </c>
      <c r="H15" s="18">
        <f>G15-F15</f>
        <v/>
      </c>
    </row>
    <row r="17">
      <c r="E17" s="2" t="inlineStr">
        <is>
          <t>TOTALES:</t>
        </is>
      </c>
      <c r="F17" s="19">
        <f>SUM(F3:F15)</f>
        <v/>
      </c>
      <c r="G17" s="19">
        <f>SUM(G3:G15)</f>
        <v/>
      </c>
      <c r="H17" s="19">
        <f>SUM(H3:H15)</f>
        <v/>
      </c>
    </row>
  </sheetData>
  <mergeCells count="1">
    <mergeCell ref="A1:H1"/>
  </mergeCells>
  <conditionalFormatting sqref="H3:H1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46" customWidth="1" min="4" max="4"/>
  </cols>
  <sheetData>
    <row r="1" ht="28" customHeight="1">
      <c r="A1" s="1" t="inlineStr">
        <is>
          <t>🔮 PRESUPUESTO ESTIMADO (predictivo)</t>
        </is>
      </c>
    </row>
    <row r="2" ht="28" customHeight="1">
      <c r="A2" s="20" t="inlineStr">
        <is>
          <t>Estimado con base en investigación web (blogs de viaje, foros de peajes, comunidad Tesla Colombia, listados de cabañas). Ajusta los supuestos en amarillo — el resto se recalcula solo.</t>
        </is>
      </c>
    </row>
    <row r="4" ht="20" customHeight="1">
      <c r="A4" s="21" t="inlineStr">
        <is>
          <t>SUPUESTOS (edítalos)</t>
        </is>
      </c>
    </row>
    <row r="5">
      <c r="A5" s="2" t="inlineStr">
        <is>
          <t>Personas (comida + ocio playa)</t>
        </is>
      </c>
      <c r="B5" s="22" t="n">
        <v>13</v>
      </c>
    </row>
    <row r="6">
      <c r="A6" s="2" t="inlineStr">
        <is>
          <t>Días del viaje</t>
        </is>
      </c>
      <c r="B6" s="22" t="n">
        <v>6</v>
      </c>
    </row>
    <row r="7">
      <c r="A7" s="2" t="inlineStr">
        <is>
          <t>Número de carros</t>
        </is>
      </c>
      <c r="B7" s="22" t="n">
        <v>3</v>
      </c>
    </row>
    <row r="8">
      <c r="A8" s="2" t="inlineStr">
        <is>
          <t xml:space="preserve">  → de los cuales, a gasolina</t>
        </is>
      </c>
      <c r="B8" s="22" t="n">
        <v>2</v>
      </c>
    </row>
    <row r="9">
      <c r="A9" s="2" t="inlineStr">
        <is>
          <t xml:space="preserve">  → de los cuales, Tesla Model Y RWD</t>
        </is>
      </c>
      <c r="B9" s="22" t="n">
        <v>1</v>
      </c>
    </row>
    <row r="10">
      <c r="A10" s="2" t="inlineStr">
        <is>
          <t>Precio galón gasolina (COP)</t>
        </is>
      </c>
      <c r="B10" s="23" t="n">
        <v>17000</v>
      </c>
    </row>
    <row r="11">
      <c r="A11" s="2" t="inlineStr">
        <is>
          <t>Rendimiento promedio (km/galón)</t>
        </is>
      </c>
      <c r="B11" s="22" t="n">
        <v>35</v>
      </c>
    </row>
    <row r="12">
      <c r="A12" s="2" t="inlineStr">
        <is>
          <t>Distancia Medellín–Coveñas (km, ida)</t>
        </is>
      </c>
      <c r="B12" s="22" t="n">
        <v>500</v>
      </c>
    </row>
    <row r="13">
      <c r="A13" s="2" t="inlineStr">
        <is>
          <t>Peajes ida y vuelta por carro (COP)</t>
        </is>
      </c>
      <c r="B13" s="23" t="n">
        <v>160000</v>
      </c>
    </row>
    <row r="14">
      <c r="A14" s="2" t="inlineStr">
        <is>
          <t>Carga Tesla ida y vuelta (COP, ver hoja Tesla)</t>
        </is>
      </c>
      <c r="B14" s="35">
        <f>Tesla!C45</f>
        <v/>
      </c>
    </row>
    <row r="15">
      <c r="A15" s="2" t="inlineStr">
        <is>
          <t>Comida por persona/día (COP)</t>
        </is>
      </c>
      <c r="B15" s="23" t="n">
        <v>30000</v>
      </c>
    </row>
    <row r="16">
      <c r="A16" s="2" t="inlineStr">
        <is>
          <t>Señora de servicio por día (COP)</t>
        </is>
      </c>
      <c r="B16" s="23" t="n">
        <v>100000</v>
      </c>
    </row>
    <row r="17">
      <c r="A17" s="2" t="inlineStr">
        <is>
          <t>Ocio diario en playa por persona/día (COP)</t>
        </is>
      </c>
      <c r="B17" s="23" t="n">
        <v>25000</v>
      </c>
    </row>
    <row r="19" ht="20" customHeight="1">
      <c r="A19" s="21" t="inlineStr">
        <is>
          <t>ESTIMADO POR CATEGORÍA</t>
        </is>
      </c>
    </row>
    <row r="20" ht="30" customHeight="1">
      <c r="A20" s="24" t="inlineStr">
        <is>
          <t>Categoría</t>
        </is>
      </c>
      <c r="B20" s="24" t="inlineStr">
        <is>
          <t>Cálculo</t>
        </is>
      </c>
      <c r="C20" s="24" t="inlineStr">
        <is>
          <t>Total estimado</t>
        </is>
      </c>
      <c r="D20" s="24" t="inlineStr">
        <is>
          <t>Fuente / nota</t>
        </is>
      </c>
    </row>
    <row r="21">
      <c r="A21" s="25" t="inlineStr">
        <is>
          <t>Alimentación / mercado</t>
        </is>
      </c>
      <c r="B21" s="25">
        <f>B5*B6*B15</f>
        <v/>
      </c>
      <c r="C21" s="26">
        <f>B21</f>
        <v/>
      </c>
      <c r="D21" s="27" t="inlineStr">
        <is>
          <t>Sin dato específico de Coveñas — estimado con referencia costa Caribe colombiana (autoconsumo, no restaurante)</t>
        </is>
      </c>
    </row>
    <row r="22">
      <c r="A22" s="25" t="inlineStr">
        <is>
          <t>Transporte — carros a gasolina</t>
        </is>
      </c>
      <c r="B22" s="25">
        <f>B8*((2*B12/B11*B10)+B13)</f>
        <v/>
      </c>
      <c r="C22" s="26">
        <f>B22</f>
        <v/>
      </c>
      <c r="D22" s="27" t="inlineStr">
        <is>
          <t>colombiapeajes.com + tarifas.info: ~493-540km, ~$170-210k gasolina + ~$80k peajes por trayecto</t>
        </is>
      </c>
    </row>
    <row r="23">
      <c r="A23" s="25" t="inlineStr">
        <is>
          <t>Transporte — Tesla Model Y RWD</t>
        </is>
      </c>
      <c r="B23" s="25">
        <f>B14</f>
        <v/>
      </c>
      <c r="C23" s="26">
        <f>B23</f>
        <v/>
      </c>
      <c r="D23" s="27" t="inlineStr">
        <is>
          <t>Club Tesla Colombia: Supercargador Medellín $1.300/kWh (~$50k por carga rápida). Asume carga en casa + 1 parada rápida por trayecto; sin Supercargador confirmado en la ruta a Coveñas</t>
        </is>
      </c>
    </row>
    <row r="24">
      <c r="A24" s="25" t="inlineStr">
        <is>
          <t>Señora de servicio (cocina + aseo)</t>
        </is>
      </c>
      <c r="B24" s="25">
        <f>B16*B6</f>
        <v/>
      </c>
      <c r="C24" s="26">
        <f>B24</f>
        <v/>
      </c>
      <c r="D24" s="27" t="inlineStr">
        <is>
          <t>Listados de cabañas en Coveñas (Airbnb/Renti): $80k–$110k/día para grupos de hasta 10-12 personas</t>
        </is>
      </c>
    </row>
    <row r="25">
      <c r="A25" s="25" t="inlineStr">
        <is>
          <t>Ocio diario en playa (toldo/silla, bebidas)</t>
        </is>
      </c>
      <c r="B25" s="25">
        <f>B5*B6*B17</f>
        <v/>
      </c>
      <c r="C25" s="26">
        <f>B25</f>
        <v/>
      </c>
      <c r="D25" s="27" t="inlineStr">
        <is>
          <t>Sin dato específico de Coveñas — estimado de referencia costa Caribe. No incluye paseo a Islas de San Bernardo (eso va en 'Actividades')</t>
        </is>
      </c>
    </row>
    <row r="27">
      <c r="A27" s="2" t="inlineStr">
        <is>
          <t>Subtotal estimado (sin cabaña):</t>
        </is>
      </c>
      <c r="C27" s="28">
        <f>SUM(C21:C25)</f>
        <v/>
      </c>
    </row>
    <row r="29" ht="20" customHeight="1">
      <c r="A29" s="21" t="inlineStr">
        <is>
          <t>GRAN TOTAL ESTIMADO DEL VIAJE</t>
        </is>
      </c>
    </row>
    <row r="30">
      <c r="A30" s="2" t="inlineStr">
        <is>
          <t>Costo cabaña (real, ya reservada)</t>
        </is>
      </c>
      <c r="C30" s="16">
        <f>Cabaña!B5</f>
        <v/>
      </c>
    </row>
    <row r="31">
      <c r="A31" s="2" t="inlineStr">
        <is>
          <t>+ Subtotal estimado arriba</t>
        </is>
      </c>
      <c r="C31" s="16">
        <f>C27</f>
        <v/>
      </c>
    </row>
    <row r="32">
      <c r="A32" s="5">
        <f> GRAN TOTAL ESTIMADO DEL VIAJE</f>
        <v/>
      </c>
      <c r="C32" s="17">
        <f>C30+C27</f>
        <v/>
      </c>
    </row>
    <row r="33">
      <c r="A33" s="2" t="inlineStr">
        <is>
          <t>≈ por persona</t>
        </is>
      </c>
      <c r="C33" s="28">
        <f>C32/B5</f>
        <v/>
      </c>
    </row>
    <row r="36">
      <c r="A36" s="29" t="inlineStr">
        <is>
          <t>Nota: los blogs de viaje (Isatour, Ecoturismo Colombia) reportan viajes de 4 noches desde Medellín (transporte + hospedaje + comida + 2 excursiones) entre $700.000 y $1.200.000 COP por persona. Nuestro estimado por persona para 6 noches queda dentro de un rango razonable frente a esa referencia.</t>
        </is>
      </c>
    </row>
    <row r="37"/>
    <row r="38"/>
  </sheetData>
  <mergeCells count="3">
    <mergeCell ref="A1:D1"/>
    <mergeCell ref="A2:F2"/>
    <mergeCell ref="A36:F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6" customWidth="1" min="3" max="3"/>
    <col width="46" customWidth="1" min="4" max="4"/>
  </cols>
  <sheetData>
    <row r="1" ht="28" customHeight="1">
      <c r="A1" s="1" t="inlineStr">
        <is>
          <t>⛽ CARROS A GASOLINA — Medellín → Coveñas</t>
        </is>
      </c>
    </row>
    <row r="2" ht="30" customHeight="1">
      <c r="A2" s="20" t="inlineStr">
        <is>
          <t>Ruta, presupuesto y checklist para los 2 carros a gasolina del grupo. Mismos supuestos que la hoja 'Estimado' — investigado en foros de peajes y guías de viaje.</t>
        </is>
      </c>
    </row>
    <row r="4" ht="20" customHeight="1">
      <c r="A4" s="21" t="inlineStr">
        <is>
          <t>RUTA Y PARADAS</t>
        </is>
      </c>
    </row>
    <row r="5" ht="28" customHeight="1">
      <c r="A5" s="30" t="inlineStr">
        <is>
          <t>Parada</t>
        </is>
      </c>
      <c r="B5" s="30" t="inlineStr">
        <is>
          <t>Km aprox. desde Medellín</t>
        </is>
      </c>
      <c r="C5" s="30" t="inlineStr">
        <is>
          <t>Qué hacer ahí</t>
        </is>
      </c>
      <c r="D5" s="30" t="inlineStr">
        <is>
          <t>Nota</t>
        </is>
      </c>
    </row>
    <row r="6" ht="40" customHeight="1">
      <c r="A6" s="31" t="inlineStr">
        <is>
          <t>Medellín</t>
        </is>
      </c>
      <c r="B6" s="25" t="inlineStr">
        <is>
          <t>0 km</t>
        </is>
      </c>
      <c r="C6" s="25" t="inlineStr">
        <is>
          <t>Salida</t>
        </is>
      </c>
      <c r="D6" s="25" t="inlineStr">
        <is>
          <t>Tanquear lleno antes de salir — evita buscar bomba con poco tiempo.</t>
        </is>
      </c>
    </row>
    <row r="7" ht="40" customHeight="1">
      <c r="A7" s="31" t="inlineStr">
        <is>
          <t>Santa Fe de Antioquia / Caucasia</t>
        </is>
      </c>
      <c r="B7" s="25" t="inlineStr">
        <is>
          <t>≈ 250 km</t>
        </is>
      </c>
      <c r="C7" s="25" t="inlineStr">
        <is>
          <t>Descanso + gasolina</t>
        </is>
      </c>
      <c r="D7" s="25" t="inlineStr">
        <is>
          <t>Punto medio natural, hay estaciones de servicio y sitios para comer.</t>
        </is>
      </c>
    </row>
    <row r="8" ht="40" customHeight="1">
      <c r="A8" s="31" t="inlineStr">
        <is>
          <t>Planeta Rica / Sincelejo</t>
        </is>
      </c>
      <c r="B8" s="25" t="inlineStr">
        <is>
          <t>≈ 350–400 km</t>
        </is>
      </c>
      <c r="C8" s="25" t="inlineStr">
        <is>
          <t>Gasolina si hace falta</t>
        </is>
      </c>
      <c r="D8" s="25" t="inlineStr">
        <is>
          <t>Segunda opción de tanqueo si no se llenó completo en Caucasia.</t>
        </is>
      </c>
    </row>
    <row r="9" ht="40" customHeight="1">
      <c r="A9" s="31" t="inlineStr">
        <is>
          <t>Coveñas / Tolú</t>
        </is>
      </c>
      <c r="B9" s="25" t="inlineStr">
        <is>
          <t>≈ 500 km (destino)</t>
        </is>
      </c>
      <c r="C9" s="25" t="inlineStr">
        <is>
          <t>Llegada</t>
        </is>
      </c>
      <c r="D9" s="25" t="inlineStr">
        <is>
          <t>Confirmar parqueadero disponible en el condominio para los 2 carros.</t>
        </is>
      </c>
    </row>
    <row r="11" ht="20" customHeight="1">
      <c r="A11" s="21" t="inlineStr">
        <is>
          <t>PRESUPUESTO POR CARRO (ida y vuelta)</t>
        </is>
      </c>
    </row>
    <row r="12" ht="22" customHeight="1">
      <c r="A12" s="30" t="inlineStr">
        <is>
          <t>Concepto</t>
        </is>
      </c>
      <c r="B12" s="30" t="inlineStr">
        <is>
          <t>Cálculo</t>
        </is>
      </c>
      <c r="C12" s="30" t="inlineStr">
        <is>
          <t>Estimado</t>
        </is>
      </c>
      <c r="D12" s="30" t="inlineStr">
        <is>
          <t>Fuente / nota</t>
        </is>
      </c>
    </row>
    <row r="13" ht="34" customHeight="1">
      <c r="A13" s="25" t="inlineStr">
        <is>
          <t>Gasolina (ida y vuelta)</t>
        </is>
      </c>
      <c r="B13" s="25" t="inlineStr">
        <is>
          <t>≈500km ida x2 / 35 km-galón x $17.000/galón</t>
        </is>
      </c>
      <c r="C13" s="26" t="n">
        <v>486000</v>
      </c>
      <c r="D13" s="25" t="inlineStr">
        <is>
          <t>colombiapeajes.com / tarifas.info — rango real $340k-420k según rendimiento del carro</t>
        </is>
      </c>
    </row>
    <row r="14" ht="34" customHeight="1">
      <c r="A14" s="25" t="inlineStr">
        <is>
          <t>Peajes (ida y vuelta)</t>
        </is>
      </c>
      <c r="B14" s="25" t="inlineStr">
        <is>
          <t>≈$80.000 por trayecto x2</t>
        </is>
      </c>
      <c r="C14" s="26" t="n">
        <v>160000</v>
      </c>
      <c r="D14" s="25" t="inlineStr">
        <is>
          <t>colombiapeajes.com — ruta Medellín-Coveñas</t>
        </is>
      </c>
    </row>
    <row r="15">
      <c r="A15" s="2" t="inlineStr">
        <is>
          <t>Total estimado por carro (ida y vuelta):</t>
        </is>
      </c>
      <c r="C15" s="28">
        <f>SUM(C13:C14)</f>
        <v/>
      </c>
    </row>
    <row r="16">
      <c r="A16" s="2" t="inlineStr">
        <is>
          <t>Total 2 carros a gasolina:</t>
        </is>
      </c>
      <c r="C16" s="28">
        <f>C15*2</f>
        <v/>
      </c>
    </row>
    <row r="18" ht="20" customHeight="1">
      <c r="A18" s="21" t="inlineStr">
        <is>
          <t>CHECKLIST ANTES DE SALIR</t>
        </is>
      </c>
    </row>
    <row r="19" ht="26" customHeight="1">
      <c r="A19" s="32" t="inlineStr">
        <is>
          <t>☐  Revisión preventiva: llantas (incluida la de repuesto), frenos, aceite, luces, batería.</t>
        </is>
      </c>
    </row>
    <row r="20" ht="26" customHeight="1">
      <c r="A20" s="32" t="inlineStr">
        <is>
          <t>☐  SOAT y tecnomecánica vigentes para la fecha del viaje.</t>
        </is>
      </c>
    </row>
    <row r="21" ht="26" customHeight="1">
      <c r="A21" s="32" t="inlineStr">
        <is>
          <t>☐  Kit de carretera: gato, cruceta, triángulos, chaleco reflectivo, botiquín, extintor.</t>
        </is>
      </c>
    </row>
    <row r="22" ht="26" customHeight="1">
      <c r="A22" s="32" t="inlineStr">
        <is>
          <t>☐  Tanquear lleno en Medellín antes de salir — no todas las paradas intermedias tienen bomba confiable.</t>
        </is>
      </c>
    </row>
    <row r="23" ht="26" customHeight="1">
      <c r="A23" s="32" t="inlineStr">
        <is>
          <t>☐  Coordinar con el otro carro un punto de encuentro fijo si se separan en el camino.</t>
        </is>
      </c>
    </row>
    <row r="24" ht="26" customHeight="1">
      <c r="A24" s="32" t="inlineStr">
        <is>
          <t>☐  Llevar efectivo para peajes (algunos puntos de la ruta no tienen pago electrónico).</t>
        </is>
      </c>
    </row>
    <row r="25" ht="26" customHeight="1">
      <c r="A25" s="32" t="inlineStr">
        <is>
          <t>☐  Descansar cada 2-3 horas de manejo — son cerca de 9 horas de carretera.</t>
        </is>
      </c>
    </row>
    <row r="26" ht="26" customHeight="1">
      <c r="A26" s="32" t="inlineStr">
        <is>
          <t>☐  Guardar el recibo/soporte de gasolina y peajes si se va a repartir el gasto entre el carro.</t>
        </is>
      </c>
    </row>
    <row r="28" ht="20" customHeight="1">
      <c r="A28" s="21" t="inlineStr">
        <is>
          <t>FUENTES CONSULTADAS</t>
        </is>
      </c>
    </row>
    <row r="29">
      <c r="A29" s="34" t="inlineStr">
        <is>
          <t>—  colombiapeajes.com — peajes ruta Medellín-Coveñas</t>
        </is>
      </c>
    </row>
    <row r="30">
      <c r="A30" s="34" t="inlineStr">
        <is>
          <t>—  tarifas.info — gasolina y peajes Medellín-Coveñas 2025</t>
        </is>
      </c>
    </row>
    <row r="31">
      <c r="A31" s="34" t="inlineStr">
        <is>
          <t>—  yotellevo.net / himmera.com — distancia y tiempo de viaje Medellín-Coveñas</t>
        </is>
      </c>
    </row>
  </sheetData>
  <mergeCells count="13">
    <mergeCell ref="A1:D1"/>
    <mergeCell ref="A23:D23"/>
    <mergeCell ref="A31:D31"/>
    <mergeCell ref="A22:D22"/>
    <mergeCell ref="A20:D20"/>
    <mergeCell ref="A21:D21"/>
    <mergeCell ref="A26:D26"/>
    <mergeCell ref="A30:D30"/>
    <mergeCell ref="A29:D29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44" customWidth="1" min="4" max="4"/>
  </cols>
  <sheetData>
    <row r="1" ht="28" customHeight="1">
      <c r="A1" s="1" t="inlineStr">
        <is>
          <t>🔋 TESLA MODEL Y RWD — Medellín → Coveñas</t>
        </is>
      </c>
    </row>
    <row r="2" ht="32" customHeight="1">
      <c r="A2" s="20" t="inlineStr">
        <is>
          <t>Actualizado con reportes REALES de la comunidad Tesla Colombia Motors Club (grupos de WhatsApp 'Viajes' y 'Viajes y Rutas 🛣️') — gente que ya hizo esta ruta o una muy parecida, no solo estimaciones web. Andrés ya había cotizado esta misma ruta ahí antes de este viaje.</t>
        </is>
      </c>
    </row>
    <row r="4" ht="20" customHeight="1">
      <c r="A4" s="21" t="inlineStr">
        <is>
          <t>LA DECISIÓN: RUTA POR MONTERÍA (no por Sincelejo/Fátima)</t>
        </is>
      </c>
    </row>
    <row r="5" ht="40" customHeight="1">
      <c r="A5" s="32" t="inlineStr">
        <is>
          <t>La comunidad (bot 'Optimus' de teslacolombiamotorsclub.com + Andrés mismo cotizando esta ruta) comparó las dos rutas posibles. La de Montería gana claro: es 140 km más corta y necesita la MITAD de paradas de carga.</t>
        </is>
      </c>
    </row>
    <row r="6" ht="28" customHeight="1">
      <c r="A6" s="30" t="inlineStr">
        <is>
          <t>Ruta</t>
        </is>
      </c>
      <c r="B6" s="30" t="inlineStr">
        <is>
          <t>Distancia ida</t>
        </is>
      </c>
      <c r="C6" s="30" t="inlineStr">
        <is>
          <t>Paradas de carga (ida)</t>
        </is>
      </c>
      <c r="D6" s="30" t="inlineStr">
        <is>
          <t>Paradas de carga (regreso)</t>
        </is>
      </c>
    </row>
    <row r="7" ht="34" customHeight="1">
      <c r="A7" s="31" t="inlineStr">
        <is>
          <t>✅ Por Montería (RECOMENDADA) — Medellín → Caucasia → Montería → Coveñas</t>
        </is>
      </c>
      <c r="B7" s="25" t="inlineStr">
        <is>
          <t>≈492 km</t>
        </is>
      </c>
      <c r="C7" s="25" t="inlineStr">
        <is>
          <t>1 (Caucasia)</t>
        </is>
      </c>
      <c r="D7" s="25" t="inlineStr">
        <is>
          <t>1 (Caucasia)</t>
        </is>
      </c>
    </row>
    <row r="8" ht="34" customHeight="1">
      <c r="A8" s="31" t="inlineStr">
        <is>
          <t>Por Sincelejo — Medellín → Caucasia → Fátima → Sincelejo → Coveñas</t>
        </is>
      </c>
      <c r="B8" s="25" t="inlineStr">
        <is>
          <t>≈634 km</t>
        </is>
      </c>
      <c r="C8" s="25" t="inlineStr">
        <is>
          <t>2 (Fátima + Sincelejo)</t>
        </is>
      </c>
      <c r="D8" s="25" t="inlineStr">
        <is>
          <t>2 (Sincelejo + Fátima)</t>
        </is>
      </c>
    </row>
    <row r="10" ht="20" customHeight="1">
      <c r="A10" s="21" t="inlineStr">
        <is>
          <t>CARGADORES CONFIRMADOS (reportados por conductores reales)</t>
        </is>
      </c>
    </row>
    <row r="11" ht="28" customHeight="1">
      <c r="A11" s="30" t="inlineStr">
        <is>
          <t>Punto de carga</t>
        </is>
      </c>
      <c r="B11" s="30" t="inlineStr">
        <is>
          <t>Ubicación</t>
        </is>
      </c>
      <c r="C11" s="30" t="inlineStr">
        <is>
          <t>Tipo</t>
        </is>
      </c>
      <c r="D11" s="30" t="inlineStr">
        <is>
          <t>Lo que reportó la comunidad</t>
        </is>
      </c>
    </row>
    <row r="12" ht="56" customHeight="1">
      <c r="A12" s="31" t="inlineStr">
        <is>
          <t>Terpel Voltex Popalito</t>
        </is>
      </c>
      <c r="B12" s="25" t="inlineStr">
        <is>
          <t>Barbosa, salida de Medellín</t>
        </is>
      </c>
      <c r="C12" s="25" t="inlineStr">
        <is>
          <t>CCS2 rápido</t>
        </is>
      </c>
      <c r="D12" s="25" t="inlineStr">
        <is>
          <t>Primera parada típica saliendo de Medellín. Varios reportes la usan para salir con carga completa.</t>
        </is>
      </c>
    </row>
    <row r="13" ht="56" customHeight="1">
      <c r="A13" s="31" t="inlineStr">
        <is>
          <t>Terpel Voltex Caucasia</t>
        </is>
      </c>
      <c r="B13" s="25" t="inlineStr">
        <is>
          <t>Caucasia (≈284 km de Medellín)</t>
        </is>
      </c>
      <c r="C13" s="25" t="inlineStr">
        <is>
          <t>CCS2 rápido</t>
        </is>
      </c>
      <c r="D13" s="25" t="inlineStr">
        <is>
          <t>Parada obligatoria en la ruta por Montería, ida y vuelta. Es la única parada necesaria si vas por esta ruta.</t>
        </is>
      </c>
    </row>
    <row r="14" ht="56" customHeight="1">
      <c r="A14" s="31" t="inlineStr">
        <is>
          <t>Terpel Voltex Fátima</t>
        </is>
      </c>
      <c r="B14" s="25" t="inlineStr">
        <is>
          <t>Cerca de Buenavista, ≈50 km después de Caucasia</t>
        </is>
      </c>
      <c r="C14" s="25" t="inlineStr">
        <is>
          <t>CCS2, nominal 40-50 kW</t>
        </is>
      </c>
      <c r="D14" s="25" t="inlineStr">
        <is>
          <t>⚠️ Reportes de la comunidad: a veces entrega solo 20 kW por calor extremo (40°C) — una carga que debería tomar 25-30 min tomó 2 horas. Solo se usa en la ruta por Sincelejo, no en la de Montería.</t>
        </is>
      </c>
    </row>
    <row r="15" ht="56" customHeight="1">
      <c r="A15" s="31" t="inlineStr">
        <is>
          <t>Places Mall — Montería</t>
        </is>
      </c>
      <c r="B15" s="25" t="inlineStr">
        <is>
          <t>Centro comercial Places Mall, Montería</t>
        </is>
      </c>
      <c r="C15" s="25" t="inlineStr">
        <is>
          <t>Confirmado con fotos por la comunidad</t>
        </is>
      </c>
      <c r="D15" s="25" t="inlineStr">
        <is>
          <t>Parada opcional de margen en la ruta por Montería — no es obligatoria si sales de Caucasia con buena carga.</t>
        </is>
      </c>
    </row>
    <row r="16" ht="56" customHeight="1">
      <c r="A16" s="31" t="inlineStr">
        <is>
          <t>Terpel Voltex Sincelejo</t>
        </is>
      </c>
      <c r="B16" s="25" t="inlineStr">
        <is>
          <t>Sincelejo</t>
        </is>
      </c>
      <c r="C16" s="25" t="inlineStr">
        <is>
          <t>CCS2 rápido</t>
        </is>
      </c>
      <c r="D16" s="25" t="inlineStr">
        <is>
          <t>Existe (un miembro de la comunidad corrigió al bot, que inicialmente decía que no había nada en Sincelejo). Solo aplica a la ruta alterna por Sincelejo.</t>
        </is>
      </c>
    </row>
    <row r="17" ht="56" customHeight="1">
      <c r="A17" s="31" t="inlineStr">
        <is>
          <t>EPM Los Álamos</t>
        </is>
      </c>
      <c r="B17" s="25" t="inlineStr">
        <is>
          <t>Carrera 52 #65-07, Medellín</t>
        </is>
      </c>
      <c r="C17" s="25" t="inlineStr">
        <is>
          <t>CCS2 + CHAdeMO + Tipo 2</t>
        </is>
      </c>
      <c r="D17" s="25" t="inlineStr">
        <is>
          <t>Alternativa en Medellín para cargar al 100% antes de salir. Nota de la comunidad: algunos cargadores EPM solo funcionan con tarjeta física, no con la app — llévala por si acaso.</t>
        </is>
      </c>
    </row>
    <row r="19" ht="20" customHeight="1">
      <c r="A19" s="21" t="inlineStr">
        <is>
          <t>AUTONOMÍA REAL (no la de ficha)</t>
        </is>
      </c>
    </row>
    <row r="20" ht="30" customHeight="1">
      <c r="A20" s="32" t="inlineStr">
        <is>
          <t>•  Ficha técnica (WLTP): 466 km. Reportado por la comunidad en condiciones normales: 380-420 km reales.</t>
        </is>
      </c>
    </row>
    <row r="21" ht="30" customHeight="1">
      <c r="A21" s="32" t="inlineStr">
        <is>
          <t>•  Para esta ruta específica (calor, humedad, A/C, velocidad de carretera), el cálculo de la comunidad da ≈353 km de autonomía usable — más conservador que el WLTP.</t>
        </is>
      </c>
    </row>
    <row r="22" ht="30" customHeight="1">
      <c r="A22" s="32" t="inlineStr">
        <is>
          <t>•  Con 491-492 km de distancia, NO alcanza sin cargar aunque toda la ruta sea de bajada (Medellín 1493m → Coveñas 4m). Cotizado y confirmado varias veces por el bot de la comunidad para esta ruta exacta.</t>
        </is>
      </c>
    </row>
    <row r="23" ht="30" customHeight="1">
      <c r="A23" s="32" t="inlineStr">
        <is>
          <t>•  El Model Y RWD gasta 10-15% más que el AWD en el mismo trayecto — si algún día viaja alguien con AWD, sus números son más holgados que los de acá.</t>
        </is>
      </c>
    </row>
    <row r="25" ht="20" customHeight="1">
      <c r="A25" s="21" t="inlineStr">
        <is>
          <t>⚠️ EL REGRESO ES MÁS DIFÍCIL QUE LA IDA</t>
        </is>
      </c>
    </row>
    <row r="26">
      <c r="A26" s="36" t="inlineStr">
        <is>
          <t>La ida es bajada (Medellín 1493m → Coveñas 4m) y gasta poco. El regreso sube por Caucasia de nuevo a 1300m+ y gasta 30-40% MÁS energía que la ida en ese mismo tramo. Un conductor real reportó llegar de vuelta a Barbosa con apenas 5% de batería. Carga a 90-95% en Caucasia antes de subir, no al 80%.</t>
        </is>
      </c>
    </row>
    <row r="27"/>
    <row r="29" ht="20" customHeight="1">
      <c r="A29" s="21" t="inlineStr">
        <is>
          <t>PLAN RECOMENDADO (ruta por Montería)</t>
        </is>
      </c>
    </row>
    <row r="30" ht="22" customHeight="1">
      <c r="A30" s="30" t="inlineStr">
        <is>
          <t>Tramo</t>
        </is>
      </c>
      <c r="B30" s="30" t="inlineStr">
        <is>
          <t>Distancia</t>
        </is>
      </c>
      <c r="C30" s="30" t="inlineStr">
        <is>
          <t>Salida</t>
        </is>
      </c>
      <c r="D30" s="30" t="inlineStr">
        <is>
          <t>Llegada estimada</t>
        </is>
      </c>
    </row>
    <row r="31" ht="30" customHeight="1">
      <c r="A31" s="31" t="inlineStr">
        <is>
          <t>IDA — Medellín → Caucasia</t>
        </is>
      </c>
      <c r="B31" s="25" t="inlineStr">
        <is>
          <t>284 km</t>
        </is>
      </c>
      <c r="C31" s="25" t="inlineStr">
        <is>
          <t>100% (cargado en Medellín)</t>
        </is>
      </c>
      <c r="D31" s="25" t="inlineStr">
        <is>
          <t>≈20-25%</t>
        </is>
      </c>
    </row>
    <row r="32" ht="30" customHeight="1">
      <c r="A32" s="31" t="inlineStr">
        <is>
          <t>Carga en Caucasia</t>
        </is>
      </c>
      <c r="B32" s="25" t="inlineStr">
        <is>
          <t>—</t>
        </is>
      </c>
      <c r="C32" s="25" t="inlineStr">
        <is>
          <t>20-25%</t>
        </is>
      </c>
      <c r="D32" s="25" t="inlineStr">
        <is>
          <t>→ 90-95%</t>
        </is>
      </c>
    </row>
    <row r="33" ht="30" customHeight="1">
      <c r="A33" s="31" t="inlineStr">
        <is>
          <t>IDA — Caucasia → Montería → Coveñas</t>
        </is>
      </c>
      <c r="B33" s="25" t="inlineStr">
        <is>
          <t>208 km</t>
        </is>
      </c>
      <c r="C33" s="25" t="inlineStr">
        <is>
          <t>90-95%</t>
        </is>
      </c>
      <c r="D33" s="25" t="inlineStr">
        <is>
          <t>≈50-55%</t>
        </is>
      </c>
    </row>
    <row r="34" ht="30" customHeight="1">
      <c r="A34" s="31" t="inlineStr">
        <is>
          <t>En Coveñas</t>
        </is>
      </c>
      <c r="B34" s="25" t="inlineStr">
        <is>
          <t>—</t>
        </is>
      </c>
      <c r="C34" s="25" t="inlineStr">
        <is>
          <t>≈50-55%</t>
        </is>
      </c>
      <c r="D34" s="25" t="inlineStr">
        <is>
          <t>Cargar AC lenta en la cabaña si hay toma disponible</t>
        </is>
      </c>
    </row>
    <row r="35" ht="30" customHeight="1">
      <c r="A35" s="31" t="inlineStr">
        <is>
          <t>REGRESO — Coveñas → Caucasia</t>
        </is>
      </c>
      <c r="B35" s="25" t="inlineStr">
        <is>
          <t>208 km</t>
        </is>
      </c>
      <c r="C35" s="25" t="inlineStr">
        <is>
          <t>50-55% (o más si cargó en la cabaña)</t>
        </is>
      </c>
      <c r="D35" s="25" t="inlineStr">
        <is>
          <t>≈25-30%</t>
        </is>
      </c>
    </row>
    <row r="36" ht="30" customHeight="1">
      <c r="A36" s="31" t="inlineStr">
        <is>
          <t>Carga en Caucasia (regreso)</t>
        </is>
      </c>
      <c r="B36" s="25" t="inlineStr">
        <is>
          <t>—</t>
        </is>
      </c>
      <c r="C36" s="25" t="inlineStr">
        <is>
          <t>25-30%</t>
        </is>
      </c>
      <c r="D36" s="25" t="inlineStr">
        <is>
          <t>→ 90-95% — OBLIGATORIA antes de la subida</t>
        </is>
      </c>
    </row>
    <row r="37" ht="30" customHeight="1">
      <c r="A37" s="31" t="inlineStr">
        <is>
          <t>REGRESO — Caucasia → Medellín (subida)</t>
        </is>
      </c>
      <c r="B37" s="25" t="inlineStr">
        <is>
          <t>284 km</t>
        </is>
      </c>
      <c r="C37" s="25" t="inlineStr">
        <is>
          <t>90-95%</t>
        </is>
      </c>
      <c r="D37" s="25" t="inlineStr">
        <is>
          <t>≈15-25%</t>
        </is>
      </c>
    </row>
    <row r="39" ht="20" customHeight="1">
      <c r="A39" s="21" t="inlineStr">
        <is>
          <t>PRESUPUESTO DE CARGA (ida y vuelta, ruta por Montería)</t>
        </is>
      </c>
    </row>
    <row r="40" ht="22" customHeight="1">
      <c r="A40" s="30" t="inlineStr">
        <is>
          <t>Tramo</t>
        </is>
      </c>
      <c r="B40" s="30" t="inlineStr">
        <is>
          <t>Tipo</t>
        </is>
      </c>
      <c r="C40" s="30" t="inlineStr">
        <is>
          <t>Estimado</t>
        </is>
      </c>
      <c r="D40" s="30" t="inlineStr">
        <is>
          <t>Nota</t>
        </is>
      </c>
    </row>
    <row r="41" ht="32" customHeight="1">
      <c r="A41" s="25" t="inlineStr">
        <is>
          <t>Carga de salida en Medellín</t>
        </is>
      </c>
      <c r="B41" s="25" t="inlineStr">
        <is>
          <t>Terpel Voltex / EPM Los Álamos</t>
        </is>
      </c>
      <c r="C41" s="26" t="n">
        <v>80000</v>
      </c>
      <c r="D41" s="25" t="inlineStr">
        <is>
          <t>Completar al 100% antes de salir</t>
        </is>
      </c>
    </row>
    <row r="42" ht="32" customHeight="1">
      <c r="A42" s="25" t="inlineStr">
        <is>
          <t>Carga en Caucasia (ida)</t>
        </is>
      </c>
      <c r="B42" s="25" t="inlineStr">
        <is>
          <t>Terpel Voltex, ~20%→90%</t>
        </is>
      </c>
      <c r="C42" s="26" t="n">
        <v>60000</v>
      </c>
      <c r="D42" s="25" t="inlineStr">
        <is>
          <t>Única parada necesaria en la ida por Montería</t>
        </is>
      </c>
    </row>
    <row r="43" ht="32" customHeight="1">
      <c r="A43" s="25" t="inlineStr">
        <is>
          <t>Carga en la cabaña (Coveñas)</t>
        </is>
      </c>
      <c r="B43" s="25" t="inlineStr">
        <is>
          <t>AC lenta / toma 110-220V</t>
        </is>
      </c>
      <c r="C43" s="26" t="n">
        <v>15000</v>
      </c>
      <c r="D43" s="25" t="inlineStr">
        <is>
          <t>Si la propietaria confirma toma disponible — negociar esto con tiempo</t>
        </is>
      </c>
    </row>
    <row r="44" ht="32" customHeight="1">
      <c r="A44" s="25" t="inlineStr">
        <is>
          <t>Carga en Caucasia (regreso)</t>
        </is>
      </c>
      <c r="B44" s="25" t="inlineStr">
        <is>
          <t>Terpel Voltex, carga a 90-95%</t>
        </is>
      </c>
      <c r="C44" s="26" t="n">
        <v>65000</v>
      </c>
      <c r="D44" s="25" t="inlineStr">
        <is>
          <t>Obligatoria — la subida a Medellín no perdona</t>
        </is>
      </c>
    </row>
    <row r="45">
      <c r="A45" s="2" t="inlineStr">
        <is>
          <t>Total estimado carga Tesla (ida y vuelta):</t>
        </is>
      </c>
      <c r="C45" s="28">
        <f>SUM(C41:C44)</f>
        <v/>
      </c>
    </row>
    <row r="47" ht="20" customHeight="1">
      <c r="A47" s="21" t="inlineStr">
        <is>
          <t>CHECKLIST ANTES DE SALIR</t>
        </is>
      </c>
    </row>
    <row r="48" ht="30" customHeight="1">
      <c r="A48" s="32" t="inlineStr">
        <is>
          <t>☐  Cargar al 100% en Medellín (Terpel Voltex Popalito o EPM Los Álamos) antes de salir.</t>
        </is>
      </c>
    </row>
    <row r="49" ht="30" customHeight="1">
      <c r="A49" s="32" t="inlineStr">
        <is>
          <t>☐  Confirmar con Electromaps/PlugShare/Terpel App que el cargador de Caucasia está operativo el día del viaje.</t>
        </is>
      </c>
    </row>
    <row r="50" ht="30" customHeight="1">
      <c r="A50" s="32" t="inlineStr">
        <is>
          <t>☐  ⚠️ El viaje es en temporada de puente/fin de año — los cargadores de la ruta pueden estar más congestionados de lo normal. Un miembro de la comunidad canceló su viaje por esto mismo en un festivo. Salir temprano y tener plan B.</t>
        </is>
      </c>
    </row>
    <row r="51" ht="30" customHeight="1">
      <c r="A51" s="32" t="inlineStr">
        <is>
          <t>☐  Llevar tarjeta física de EPM además de la app (algunos cargadores EPM no funcionan solo con app).</t>
        </is>
      </c>
    </row>
    <row r="52" ht="30" customHeight="1">
      <c r="A52" s="32" t="inlineStr">
        <is>
          <t>☐  Llevar adaptador CCS1→CCS2 y cable/cargador portátil (mobile connector) para toma normal.</t>
        </is>
      </c>
    </row>
    <row r="53" ht="30" customHeight="1">
      <c r="A53" s="32" t="inlineStr">
        <is>
          <t>☐  Confirmar CON TIEMPO con la propietaria de la cabaña si hay una toma 110V/220V disponible para cargar lento durante la estadía — define si el regreso es tranquilo o ajustado.</t>
        </is>
      </c>
    </row>
    <row r="54" ht="30" customHeight="1">
      <c r="A54" s="32" t="inlineStr">
        <is>
          <t>☐  En Caucasia (ida y vuelta), cargar a 90-95%, no solo al 80% — el tramo de subida en el regreso no da margen para quedarse corto.</t>
        </is>
      </c>
    </row>
    <row r="55" ht="30" customHeight="1">
      <c r="A55" s="32" t="inlineStr">
        <is>
          <t>☐  Cuidado si se lleva el carro a la orilla de la playa — la arena y la salitre no son amigas de los EVs.</t>
        </is>
      </c>
    </row>
    <row r="56" ht="30" customHeight="1">
      <c r="A56" s="32" t="inlineStr">
        <is>
          <t>☐  Usar la app ABRP (A Better Route Planner) o el navegador de Tesla para ir monitoreando el % real en vivo durante el viaje.</t>
        </is>
      </c>
    </row>
    <row r="57" ht="30" customHeight="1">
      <c r="A57" s="32" t="inlineStr">
        <is>
          <t>☐  Después del viaje, considerar registrarlo en teslacolombiamotorsclub.com/tecnico/viajes — ayuda a la comunidad con datos reales de esta ruta.</t>
        </is>
      </c>
    </row>
    <row r="59" ht="20" customHeight="1">
      <c r="A59" s="21" t="inlineStr">
        <is>
          <t>FUENTES</t>
        </is>
      </c>
    </row>
    <row r="60" ht="18" customHeight="1">
      <c r="A60" s="34" t="inlineStr">
        <is>
          <t>—  Grupo de WhatsApp 'Viajes' (Tesla Colombia Motors Club) — Andrés cotizó esta misma ruta ahí varias veces (mayo-julio 2026)</t>
        </is>
      </c>
    </row>
    <row r="61" ht="18" customHeight="1">
      <c r="A61" s="34" t="inlineStr">
        <is>
          <t>—  Grupo de WhatsApp 'Viajes y Rutas 🛣️' — reportes reales de viajeros que hicieron Medellín-Costa Caribe en Model Y RWD</t>
        </is>
      </c>
    </row>
    <row r="62" ht="18" customHeight="1">
      <c r="A62" s="34" t="inlineStr">
        <is>
          <t>—  Bot 'Optimus' (teslacolombiamotorsclub.com) — cálculos de ruta con ciclo EVRL + ruteo OSRM, corregidos con datos de la comunidad</t>
        </is>
      </c>
    </row>
    <row r="63" ht="18" customHeight="1">
      <c r="A63" s="34" t="inlineStr">
        <is>
          <t>—  Reporte real de viaje: Medellín → Popalito → Caucasia → Fátima → Cartagena (Model Y RWD, junio 2026)</t>
        </is>
      </c>
    </row>
    <row r="64" ht="18" customHeight="1">
      <c r="A64" s="34" t="inlineStr">
        <is>
          <t>—  Reporte real: Medellín → Coveñas vía Cereté/Lorica (Jorge Londoño, vía @superacorrea, julio 2026)</t>
        </is>
      </c>
    </row>
  </sheetData>
  <mergeCells count="23">
    <mergeCell ref="A5:D5"/>
    <mergeCell ref="A23:D23"/>
    <mergeCell ref="A22:D22"/>
    <mergeCell ref="A53:D53"/>
    <mergeCell ref="A62:D62"/>
    <mergeCell ref="A20:D20"/>
    <mergeCell ref="A52:D52"/>
    <mergeCell ref="A63:D63"/>
    <mergeCell ref="A48:D48"/>
    <mergeCell ref="A26:D27"/>
    <mergeCell ref="A64:D64"/>
    <mergeCell ref="A51:D51"/>
    <mergeCell ref="A49:D49"/>
    <mergeCell ref="A60:D60"/>
    <mergeCell ref="A1:D1"/>
    <mergeCell ref="A61:D61"/>
    <mergeCell ref="A54:D54"/>
    <mergeCell ref="A56:D56"/>
    <mergeCell ref="A50:D50"/>
    <mergeCell ref="A21:D21"/>
    <mergeCell ref="A55:D55"/>
    <mergeCell ref="A57:D5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2026-08-11T21:47:15Z</dcterms:created>
  <dcterms:modified xmlns:dcterms="http://purl.org/dc/terms/" xmlns:xsi="http://www.w3.org/2001/XMLSchema-instance" xsi:type="dcterms:W3CDTF">2026-08-12T21:59:29Z</dcterms:modified>
</cp:coreProperties>
</file>