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abaña" sheetId="2" state="visible" r:id="rId2"/>
    <sheet xmlns:r="http://schemas.openxmlformats.org/officeDocument/2006/relationships" name="Personas" sheetId="3" state="visible" r:id="rId3"/>
    <sheet xmlns:r="http://schemas.openxmlformats.org/officeDocument/2006/relationships" name="Abonos" sheetId="4" state="visible" r:id="rId4"/>
    <sheet xmlns:r="http://schemas.openxmlformats.org/officeDocument/2006/relationships" name="Gastos" sheetId="5" state="visible" r:id="rId5"/>
    <sheet xmlns:r="http://schemas.openxmlformats.org/officeDocument/2006/relationships" name="Balance" sheetId="6" state="visible" r:id="rId6"/>
    <sheet xmlns:r="http://schemas.openxmlformats.org/officeDocument/2006/relationships" name="Estimado" sheetId="7" state="visible" r:id="rId7"/>
    <sheet xmlns:r="http://schemas.openxmlformats.org/officeDocument/2006/relationships" name="Tesla" sheetId="8" state="visible" r:id="rId8"/>
    <sheet xmlns:r="http://schemas.openxmlformats.org/officeDocument/2006/relationships" name="Carr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 #,##0"/>
    <numFmt numFmtId="165" formatCode="dd/mm/yyyy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i val="1"/>
      <color rgb="00777777"/>
      <sz val="9"/>
    </font>
    <font>
      <name val="Calibri"/>
      <b val="1"/>
      <color rgb="00FFFFFF"/>
      <sz val="11"/>
    </font>
    <font>
      <i val="1"/>
      <color rgb="00B33A3A"/>
      <sz val="9"/>
    </font>
    <font>
      <b val="1"/>
      <color rgb="001F3B57"/>
      <sz val="13"/>
    </font>
    <font>
      <i val="1"/>
      <color rgb="00777777"/>
      <sz val="10"/>
    </font>
    <font>
      <i val="1"/>
      <color rgb="00777777"/>
      <sz val="9.5"/>
    </font>
    <font>
      <b val="1"/>
      <color rgb="002E7D6B"/>
      <sz val="12"/>
    </font>
    <font>
      <name val="Calibri"/>
      <i val="1"/>
      <color rgb="00777777"/>
      <sz val="9"/>
    </font>
    <font>
      <name val="Calibri"/>
      <b val="1"/>
      <color rgb="001F3B57"/>
      <sz val="11"/>
    </font>
    <font>
      <i val="1"/>
    </font>
  </fonts>
  <fills count="5">
    <fill>
      <patternFill/>
    </fill>
    <fill>
      <patternFill patternType="gray125"/>
    </fill>
    <fill>
      <patternFill patternType="solid">
        <fgColor rgb="001F3B57"/>
      </patternFill>
    </fill>
    <fill>
      <patternFill patternType="solid">
        <fgColor rgb="002E7D6B"/>
      </patternFill>
    </fill>
    <fill>
      <patternFill patternType="solid">
        <fgColor rgb="00FFF6E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0" fontId="6" fillId="0" borderId="0" pivotButton="0" quotePrefix="0" xfId="0"/>
    <xf numFmtId="164" fontId="6" fillId="0" borderId="0" pivotButton="0" quotePrefix="0" xfId="0"/>
    <xf numFmtId="0" fontId="7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0" borderId="1" pivotButton="0" quotePrefix="0" xfId="0"/>
    <xf numFmtId="165" fontId="0" fillId="0" borderId="1" pivotButton="0" quotePrefix="0" xfId="0"/>
    <xf numFmtId="164" fontId="0" fillId="0" borderId="1" pivotButton="0" quotePrefix="0" xfId="0"/>
    <xf numFmtId="164" fontId="2" fillId="0" borderId="0" pivotButton="0" quotePrefix="0" xfId="0"/>
    <xf numFmtId="164" fontId="0" fillId="0" borderId="0" pivotButton="0" quotePrefix="0" xfId="0"/>
    <xf numFmtId="164" fontId="6" fillId="0" borderId="0" pivotButton="0" quotePrefix="0" xfId="0"/>
    <xf numFmtId="164" fontId="0" fillId="0" borderId="1" pivotButton="0" quotePrefix="0" xfId="0"/>
    <xf numFmtId="164" fontId="2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0" fillId="4" borderId="1" pivotButton="0" quotePrefix="0" xfId="0"/>
    <xf numFmtId="164" fontId="0" fillId="4" borderId="1" pivotButton="0" quotePrefix="0" xfId="0"/>
    <xf numFmtId="0" fontId="4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10" fillId="0" borderId="1" applyAlignment="1" pivotButton="0" quotePrefix="0" xfId="0">
      <alignment vertical="center" wrapText="1"/>
    </xf>
    <xf numFmtId="164" fontId="11" fillId="0" borderId="0" pivotButton="0" quotePrefix="0" xfId="0"/>
    <xf numFmtId="0" fontId="8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10" fillId="0" borderId="0" pivotButton="0" quotePrefix="0" xfId="0"/>
    <xf numFmtId="164" fontId="12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2" max="2"/>
    <col width="15" customWidth="1" min="3" max="3"/>
  </cols>
  <sheetData>
    <row r="1" ht="28" customHeight="1">
      <c r="A1" s="1" t="inlineStr">
        <is>
          <t>🌊 RESUMEN - VIAJE FAMILIAR A COVEÑAS</t>
        </is>
      </c>
    </row>
    <row r="2">
      <c r="A2" s="2" t="inlineStr">
        <is>
          <t>Fechas</t>
        </is>
      </c>
      <c r="B2" t="inlineStr">
        <is>
          <t>29 dic 2026 → 4 ene 2027 (6 noches)</t>
        </is>
      </c>
    </row>
    <row r="3">
      <c r="A3" s="2" t="inlineStr">
        <is>
          <t>Días para el viaje</t>
        </is>
      </c>
      <c r="B3" s="3">
        <f>Cabaña!B2-TODAY()</f>
        <v/>
      </c>
    </row>
    <row r="4">
      <c r="A4" s="2" t="inlineStr">
        <is>
          <t>Costo total cabaña</t>
        </is>
      </c>
      <c r="B4" s="16">
        <f>Cabaña!B5</f>
        <v/>
      </c>
    </row>
    <row r="5">
      <c r="A5" s="2" t="inlineStr">
        <is>
          <t>Total gastos variables registrados</t>
        </is>
      </c>
      <c r="B5" s="16">
        <f>Gastos!$E$102</f>
        <v/>
      </c>
    </row>
    <row r="6">
      <c r="A6" s="5" t="inlineStr">
        <is>
          <t>GRAN TOTAL VIAJE</t>
        </is>
      </c>
      <c r="B6" s="17">
        <f>Cabaña!B5+Gastos!$E$102</f>
        <v/>
      </c>
    </row>
    <row r="7">
      <c r="A7" s="2" t="inlineStr">
        <is>
          <t>Total abonado por todos</t>
        </is>
      </c>
      <c r="B7" s="16">
        <f>Abonos!$E$62</f>
        <v/>
      </c>
    </row>
    <row r="8">
      <c r="A8" s="2" t="inlineStr">
        <is>
          <t>Saldo pendiente por recaudar</t>
        </is>
      </c>
      <c r="B8" s="16">
        <f>(Cabaña!B5+Gastos!$E$102)-Abonos!$E$62</f>
        <v/>
      </c>
    </row>
    <row r="9">
      <c r="A9" s="2" t="inlineStr">
        <is>
          <t>Costo promedio por persona (12 base)</t>
        </is>
      </c>
      <c r="B9" s="16">
        <f>(Cabaña!B5+Gastos!$E$102)/12</f>
        <v/>
      </c>
    </row>
    <row r="10">
      <c r="A10" s="2" t="inlineStr">
        <is>
          <t>Fecha límite de pago cabaña</t>
        </is>
      </c>
      <c r="B10">
        <f>Cabaña!B7</f>
        <v/>
      </c>
    </row>
    <row r="12">
      <c r="A12" s="7" t="inlineStr">
        <is>
          <t>Ver detalle de quién debe / quién va al día en la hoja 'Balance'.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5" customWidth="1" min="3" max="3"/>
  </cols>
  <sheetData>
    <row r="1" ht="28" customHeight="1">
      <c r="A1" s="1" t="inlineStr">
        <is>
          <t>🏖️ CABAÑA - COVEÑAS</t>
        </is>
      </c>
    </row>
    <row r="2">
      <c r="A2" s="2" t="inlineStr">
        <is>
          <t>Fecha de entrada</t>
        </is>
      </c>
      <c r="B2" s="8" t="n">
        <v>46385</v>
      </c>
    </row>
    <row r="3">
      <c r="A3" s="2" t="inlineStr">
        <is>
          <t>Fecha de salida</t>
        </is>
      </c>
      <c r="B3" s="8" t="n">
        <v>46391</v>
      </c>
    </row>
    <row r="4">
      <c r="A4" s="2" t="inlineStr">
        <is>
          <t>Noches</t>
        </is>
      </c>
      <c r="B4">
        <f>B3-B2</f>
        <v/>
      </c>
    </row>
    <row r="5">
      <c r="A5" s="2" t="inlineStr">
        <is>
          <t>Costo total cabaña</t>
        </is>
      </c>
      <c r="B5" s="16" t="n">
        <v>6860000</v>
      </c>
    </row>
    <row r="6">
      <c r="A6" s="2" t="inlineStr">
        <is>
          <t>Abono ya pagado (reserva)</t>
        </is>
      </c>
      <c r="B6" s="16">
        <f>SUMIF(Abonos!D:D,"*reserva*",Abonos!E:E)</f>
        <v/>
      </c>
    </row>
    <row r="7">
      <c r="A7" s="2" t="inlineStr">
        <is>
          <t>Fecha límite de pago</t>
        </is>
      </c>
      <c r="B7" t="inlineStr">
        <is>
          <t>Por confirmar</t>
        </is>
      </c>
    </row>
    <row r="8">
      <c r="A8" s="2" t="inlineStr">
        <is>
          <t>Costo por noche (base 12 pers.)</t>
        </is>
      </c>
      <c r="B8" s="16">
        <f>B5/B4</f>
        <v/>
      </c>
    </row>
    <row r="9">
      <c r="A9" s="2" t="inlineStr">
        <is>
          <t>Personas base incluidas</t>
        </is>
      </c>
      <c r="B9" t="n">
        <v>12</v>
      </c>
    </row>
    <row r="10">
      <c r="A10" s="2" t="inlineStr">
        <is>
          <t>Estado</t>
        </is>
      </c>
      <c r="B10" t="inlineStr">
        <is>
          <t>Reservada ✅ (cabaña #2, Condominio Victoria Real)</t>
        </is>
      </c>
    </row>
    <row r="11">
      <c r="A11" s="2" t="inlineStr">
        <is>
          <t>Link reserva (Airbnb)</t>
        </is>
      </c>
      <c r="B11" t="inlineStr">
        <is>
          <t>https://es-l.airbnb.com/rooms/1586967966635694597</t>
        </is>
      </c>
    </row>
    <row r="13">
      <c r="A13" s="9" t="inlineStr">
        <is>
          <t>Nota: el costo por noche por persona se calcula abajo en 'Personas', repartiendo</t>
        </is>
      </c>
    </row>
    <row r="14">
      <c r="A14" s="9" t="inlineStr">
        <is>
          <t>el costo total entre las noches reales de cada quien (para los que van fechas distintas).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6" customWidth="1" min="3" max="3"/>
    <col width="32" customWidth="1" min="4" max="4"/>
    <col width="42" customWidth="1" min="5" max="5"/>
  </cols>
  <sheetData>
    <row r="1" ht="28" customHeight="1">
      <c r="A1" s="1" t="inlineStr">
        <is>
          <t>👨‍👩‍👧‍👦 PERSONAS Y NOCHES</t>
        </is>
      </c>
    </row>
    <row r="2" ht="32" customHeight="1">
      <c r="A2" s="10" t="inlineStr">
        <is>
          <t>Nombre</t>
        </is>
      </c>
      <c r="B2" s="10" t="inlineStr">
        <is>
          <t>Grupo familiar</t>
        </is>
      </c>
      <c r="C2" s="10" t="inlineStr">
        <is>
          <t>Noches en cabaña</t>
        </is>
      </c>
      <c r="D2" s="10" t="inlineStr">
        <is>
          <t>Participa gastos variables (Sí/No)</t>
        </is>
      </c>
      <c r="E2" s="10" t="inlineStr">
        <is>
          <t>Nota</t>
        </is>
      </c>
    </row>
    <row r="3">
      <c r="A3" s="11" t="inlineStr">
        <is>
          <t>Andrés</t>
        </is>
      </c>
      <c r="B3" s="11" t="inlineStr">
        <is>
          <t>Grupo Andrés</t>
        </is>
      </c>
      <c r="C3" s="11" t="n">
        <v>6</v>
      </c>
      <c r="D3" s="11" t="inlineStr">
        <is>
          <t>Sí</t>
        </is>
      </c>
      <c r="E3" s="12" t="inlineStr"/>
    </row>
    <row r="4">
      <c r="A4" s="11" t="inlineStr">
        <is>
          <t>Diana</t>
        </is>
      </c>
      <c r="B4" s="11" t="inlineStr">
        <is>
          <t>Grupo Andrés</t>
        </is>
      </c>
      <c r="C4" s="11" t="n">
        <v>6</v>
      </c>
      <c r="D4" s="11" t="inlineStr">
        <is>
          <t>Sí</t>
        </is>
      </c>
      <c r="E4" s="12" t="inlineStr"/>
    </row>
    <row r="5">
      <c r="A5" s="11" t="inlineStr">
        <is>
          <t>Thomas</t>
        </is>
      </c>
      <c r="B5" s="11" t="inlineStr">
        <is>
          <t>Grupo Andrés</t>
        </is>
      </c>
      <c r="C5" s="11" t="n">
        <v>6</v>
      </c>
      <c r="D5" s="11" t="inlineStr">
        <is>
          <t>Sí</t>
        </is>
      </c>
      <c r="E5" s="12" t="inlineStr"/>
    </row>
    <row r="6">
      <c r="A6" s="11" t="inlineStr">
        <is>
          <t>Ana Maria Moncada</t>
        </is>
      </c>
      <c r="B6" s="11" t="inlineStr">
        <is>
          <t>Grupo Ana</t>
        </is>
      </c>
      <c r="C6" s="11" t="n">
        <v>6</v>
      </c>
      <c r="D6" s="11" t="inlineStr">
        <is>
          <t>Sí</t>
        </is>
      </c>
      <c r="E6" s="12" t="inlineStr"/>
    </row>
    <row r="7">
      <c r="A7" s="11" t="inlineStr">
        <is>
          <t>Isabella</t>
        </is>
      </c>
      <c r="B7" s="11" t="inlineStr">
        <is>
          <t>Grupo Ana</t>
        </is>
      </c>
      <c r="C7" s="11" t="n">
        <v>6</v>
      </c>
      <c r="D7" s="11" t="inlineStr">
        <is>
          <t>Sí</t>
        </is>
      </c>
      <c r="E7" s="12" t="inlineStr"/>
    </row>
    <row r="8">
      <c r="A8" s="11" t="inlineStr">
        <is>
          <t>Alex HenO</t>
        </is>
      </c>
      <c r="B8" s="11" t="inlineStr">
        <is>
          <t>Grupo Alex</t>
        </is>
      </c>
      <c r="C8" s="11" t="n">
        <v>6</v>
      </c>
      <c r="D8" s="11" t="inlineStr">
        <is>
          <t>Sí</t>
        </is>
      </c>
      <c r="E8" s="12" t="inlineStr"/>
    </row>
    <row r="9">
      <c r="A9" s="11" t="inlineStr">
        <is>
          <t>Alyson</t>
        </is>
      </c>
      <c r="B9" s="11" t="inlineStr">
        <is>
          <t>Grupo Alex</t>
        </is>
      </c>
      <c r="C9" s="11" t="n">
        <v>6</v>
      </c>
      <c r="D9" s="11" t="inlineStr">
        <is>
          <t>Sí</t>
        </is>
      </c>
      <c r="E9" s="12" t="inlineStr"/>
    </row>
    <row r="10">
      <c r="A10" s="11" t="inlineStr">
        <is>
          <t>Sandra Arbelaez</t>
        </is>
      </c>
      <c r="B10" s="11" t="inlineStr">
        <is>
          <t>Grupo Sandra</t>
        </is>
      </c>
      <c r="C10" s="11" t="n">
        <v>6</v>
      </c>
      <c r="D10" s="11" t="inlineStr">
        <is>
          <t>Sí</t>
        </is>
      </c>
      <c r="E10" s="12" t="inlineStr"/>
    </row>
    <row r="11">
      <c r="A11" s="11" t="inlineStr">
        <is>
          <t>Juanjo</t>
        </is>
      </c>
      <c r="B11" s="11" t="inlineStr">
        <is>
          <t>Grupo Sandra</t>
        </is>
      </c>
      <c r="C11" s="11" t="n">
        <v>6</v>
      </c>
      <c r="D11" s="11" t="inlineStr">
        <is>
          <t>Sí</t>
        </is>
      </c>
      <c r="E11" s="12" t="inlineStr"/>
    </row>
    <row r="12">
      <c r="A12" s="11" t="inlineStr">
        <is>
          <t>Daniel Felipe Ortega</t>
        </is>
      </c>
      <c r="B12" s="11" t="inlineStr">
        <is>
          <t>Casa Mery</t>
        </is>
      </c>
      <c r="C12" s="11" t="n">
        <v>6</v>
      </c>
      <c r="D12" s="11" t="inlineStr">
        <is>
          <t>Sí</t>
        </is>
      </c>
      <c r="E12" s="12" t="inlineStr"/>
    </row>
    <row r="13">
      <c r="A13" s="11" t="inlineStr">
        <is>
          <t>Marlen Moncada</t>
        </is>
      </c>
      <c r="B13" s="11" t="inlineStr">
        <is>
          <t>Casa Mery</t>
        </is>
      </c>
      <c r="C13" s="11" t="n">
        <v>6</v>
      </c>
      <c r="D13" s="11" t="inlineStr">
        <is>
          <t>Sí</t>
        </is>
      </c>
      <c r="E13" s="12" t="inlineStr"/>
    </row>
    <row r="14">
      <c r="A14" s="11" t="inlineStr">
        <is>
          <t>Patricia Arbelaez</t>
        </is>
      </c>
      <c r="B14" s="11" t="inlineStr">
        <is>
          <t>Grupo Paty</t>
        </is>
      </c>
      <c r="C14" s="11" t="n">
        <v>6</v>
      </c>
      <c r="D14" s="11" t="inlineStr">
        <is>
          <t>Sí</t>
        </is>
      </c>
      <c r="E14" s="12" t="inlineStr"/>
    </row>
    <row r="15">
      <c r="A15" s="11" t="inlineStr">
        <is>
          <t>Julián</t>
        </is>
      </c>
      <c r="B15" s="11" t="inlineStr">
        <is>
          <t>Extra (con Alyson - Grupo Alex)</t>
        </is>
      </c>
      <c r="C15" s="11" t="n">
        <v>3</v>
      </c>
      <c r="D15" s="11" t="inlineStr">
        <is>
          <t>Sí</t>
        </is>
      </c>
      <c r="E15" s="12" t="inlineStr">
        <is>
          <t>Llega después del 31 dic - AJUSTAR noches reales</t>
        </is>
      </c>
    </row>
    <row r="17">
      <c r="A17" s="2" t="inlineStr">
        <is>
          <t>Total noches-persona:</t>
        </is>
      </c>
      <c r="C17">
        <f>SUM(C3:C15)</f>
        <v/>
      </c>
    </row>
  </sheetData>
  <mergeCells count="1">
    <mergeCell ref="A1:F1"/>
  </mergeCells>
  <dataValidations count="1">
    <dataValidation sqref="D3:D35" showDropDown="0" showInputMessage="0" showErrorMessage="0" allowBlank="0" type="list">
      <formula1>"Sí,No"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26" customWidth="1" min="4" max="4"/>
    <col width="16" customWidth="1" min="5" max="5"/>
    <col width="36" customWidth="1" min="6" max="6"/>
  </cols>
  <sheetData>
    <row r="1" ht="28" customHeight="1">
      <c r="A1" s="1" t="inlineStr">
        <is>
          <t>💰 ABONOS / ADELANTOS</t>
        </is>
      </c>
    </row>
    <row r="2" ht="32" customHeight="1">
      <c r="A2" s="10" t="inlineStr">
        <is>
          <t>Fecha</t>
        </is>
      </c>
      <c r="B2" s="10" t="inlineStr">
        <is>
          <t>Nombre</t>
        </is>
      </c>
      <c r="C2" s="10" t="inlineStr">
        <is>
          <t>Grupo familiar</t>
        </is>
      </c>
      <c r="D2" s="10" t="inlineStr">
        <is>
          <t>Concepto</t>
        </is>
      </c>
      <c r="E2" s="10" t="inlineStr">
        <is>
          <t>Valor</t>
        </is>
      </c>
      <c r="F2" s="10" t="inlineStr">
        <is>
          <t>Nota</t>
        </is>
      </c>
    </row>
    <row r="3">
      <c r="A3" s="13" t="n">
        <v>46244</v>
      </c>
      <c r="B3" s="11" t="inlineStr">
        <is>
          <t>Andrés</t>
        </is>
      </c>
      <c r="C3" s="11" t="inlineStr">
        <is>
          <t>Grupo Andrés</t>
        </is>
      </c>
      <c r="D3" s="11" t="inlineStr">
        <is>
          <t>Abono reserva cabaña</t>
        </is>
      </c>
      <c r="E3" s="18" t="n">
        <v>250000</v>
      </c>
      <c r="F3" s="11" t="inlineStr">
        <is>
          <t>Pago inicial para asegurar la cabaña</t>
        </is>
      </c>
    </row>
    <row r="4">
      <c r="A4" s="13" t="n">
        <v>46244</v>
      </c>
      <c r="B4" s="11" t="inlineStr">
        <is>
          <t>Ana Maria Moncada</t>
        </is>
      </c>
      <c r="C4" s="11" t="inlineStr">
        <is>
          <t>Grupo Ana</t>
        </is>
      </c>
      <c r="D4" s="11" t="inlineStr">
        <is>
          <t>Abono reserva cabaña</t>
        </is>
      </c>
      <c r="E4" s="18" t="n">
        <v>250000</v>
      </c>
      <c r="F4" s="11" t="inlineStr">
        <is>
          <t>Pago inicial para asegurar la cabaña</t>
        </is>
      </c>
    </row>
    <row r="5">
      <c r="A5" s="13" t="n"/>
      <c r="B5" s="11" t="n"/>
      <c r="C5" s="11" t="n"/>
      <c r="D5" s="11" t="n"/>
      <c r="E5" s="18" t="n"/>
      <c r="F5" s="11" t="n"/>
    </row>
    <row r="6">
      <c r="A6" s="13" t="n"/>
      <c r="B6" s="11" t="n"/>
      <c r="C6" s="11" t="n"/>
      <c r="D6" s="11" t="n"/>
      <c r="E6" s="18" t="n"/>
      <c r="F6" s="11" t="n"/>
    </row>
    <row r="7">
      <c r="A7" s="13" t="n"/>
      <c r="B7" s="11" t="n"/>
      <c r="C7" s="11" t="n"/>
      <c r="D7" s="11" t="n"/>
      <c r="E7" s="18" t="n"/>
      <c r="F7" s="11" t="n"/>
    </row>
    <row r="8">
      <c r="A8" s="13" t="n"/>
      <c r="B8" s="11" t="n"/>
      <c r="C8" s="11" t="n"/>
      <c r="D8" s="11" t="n"/>
      <c r="E8" s="18" t="n"/>
      <c r="F8" s="11" t="n"/>
    </row>
    <row r="9">
      <c r="A9" s="13" t="n"/>
      <c r="B9" s="11" t="n"/>
      <c r="C9" s="11" t="n"/>
      <c r="D9" s="11" t="n"/>
      <c r="E9" s="18" t="n"/>
      <c r="F9" s="11" t="n"/>
    </row>
    <row r="10">
      <c r="A10" s="13" t="n"/>
      <c r="B10" s="11" t="n"/>
      <c r="C10" s="11" t="n"/>
      <c r="D10" s="11" t="n"/>
      <c r="E10" s="18" t="n"/>
      <c r="F10" s="11" t="n"/>
    </row>
    <row r="11">
      <c r="A11" s="13" t="n"/>
      <c r="B11" s="11" t="n"/>
      <c r="C11" s="11" t="n"/>
      <c r="D11" s="11" t="n"/>
      <c r="E11" s="18" t="n"/>
      <c r="F11" s="11" t="n"/>
    </row>
    <row r="12">
      <c r="A12" s="13" t="n"/>
      <c r="B12" s="11" t="n"/>
      <c r="C12" s="11" t="n"/>
      <c r="D12" s="11" t="n"/>
      <c r="E12" s="18" t="n"/>
      <c r="F12" s="11" t="n"/>
    </row>
    <row r="13">
      <c r="A13" s="13" t="n"/>
      <c r="B13" s="11" t="n"/>
      <c r="C13" s="11" t="n"/>
      <c r="D13" s="11" t="n"/>
      <c r="E13" s="18" t="n"/>
      <c r="F13" s="11" t="n"/>
    </row>
    <row r="14">
      <c r="A14" s="13" t="n"/>
      <c r="B14" s="11" t="n"/>
      <c r="C14" s="11" t="n"/>
      <c r="D14" s="11" t="n"/>
      <c r="E14" s="18" t="n"/>
      <c r="F14" s="11" t="n"/>
    </row>
    <row r="15">
      <c r="A15" s="13" t="n"/>
      <c r="B15" s="11" t="n"/>
      <c r="C15" s="11" t="n"/>
      <c r="D15" s="11" t="n"/>
      <c r="E15" s="18" t="n"/>
      <c r="F15" s="11" t="n"/>
    </row>
    <row r="16">
      <c r="A16" s="13" t="n"/>
      <c r="B16" s="11" t="n"/>
      <c r="C16" s="11" t="n"/>
      <c r="D16" s="11" t="n"/>
      <c r="E16" s="18" t="n"/>
      <c r="F16" s="11" t="n"/>
    </row>
    <row r="17">
      <c r="A17" s="13" t="n"/>
      <c r="B17" s="11" t="n"/>
      <c r="C17" s="11" t="n"/>
      <c r="D17" s="11" t="n"/>
      <c r="E17" s="18" t="n"/>
      <c r="F17" s="11" t="n"/>
    </row>
    <row r="18">
      <c r="A18" s="13" t="n"/>
      <c r="B18" s="11" t="n"/>
      <c r="C18" s="11" t="n"/>
      <c r="D18" s="11" t="n"/>
      <c r="E18" s="18" t="n"/>
      <c r="F18" s="11" t="n"/>
    </row>
    <row r="19">
      <c r="A19" s="13" t="n"/>
      <c r="B19" s="11" t="n"/>
      <c r="C19" s="11" t="n"/>
      <c r="D19" s="11" t="n"/>
      <c r="E19" s="18" t="n"/>
      <c r="F19" s="11" t="n"/>
    </row>
    <row r="20">
      <c r="A20" s="13" t="n"/>
      <c r="B20" s="11" t="n"/>
      <c r="C20" s="11" t="n"/>
      <c r="D20" s="11" t="n"/>
      <c r="E20" s="18" t="n"/>
      <c r="F20" s="11" t="n"/>
    </row>
    <row r="21">
      <c r="A21" s="13" t="n"/>
      <c r="B21" s="11" t="n"/>
      <c r="C21" s="11" t="n"/>
      <c r="D21" s="11" t="n"/>
      <c r="E21" s="18" t="n"/>
      <c r="F21" s="11" t="n"/>
    </row>
    <row r="22">
      <c r="A22" s="13" t="n"/>
      <c r="B22" s="11" t="n"/>
      <c r="C22" s="11" t="n"/>
      <c r="D22" s="11" t="n"/>
      <c r="E22" s="18" t="n"/>
      <c r="F22" s="11" t="n"/>
    </row>
    <row r="23">
      <c r="A23" s="13" t="n"/>
      <c r="B23" s="11" t="n"/>
      <c r="C23" s="11" t="n"/>
      <c r="D23" s="11" t="n"/>
      <c r="E23" s="18" t="n"/>
      <c r="F23" s="11" t="n"/>
    </row>
    <row r="24">
      <c r="A24" s="13" t="n"/>
      <c r="B24" s="11" t="n"/>
      <c r="C24" s="11" t="n"/>
      <c r="D24" s="11" t="n"/>
      <c r="E24" s="18" t="n"/>
      <c r="F24" s="11" t="n"/>
    </row>
    <row r="25">
      <c r="A25" s="13" t="n"/>
      <c r="B25" s="11" t="n"/>
      <c r="C25" s="11" t="n"/>
      <c r="D25" s="11" t="n"/>
      <c r="E25" s="18" t="n"/>
      <c r="F25" s="11" t="n"/>
    </row>
    <row r="26">
      <c r="A26" s="13" t="n"/>
      <c r="B26" s="11" t="n"/>
      <c r="C26" s="11" t="n"/>
      <c r="D26" s="11" t="n"/>
      <c r="E26" s="18" t="n"/>
      <c r="F26" s="11" t="n"/>
    </row>
    <row r="27">
      <c r="A27" s="13" t="n"/>
      <c r="B27" s="11" t="n"/>
      <c r="C27" s="11" t="n"/>
      <c r="D27" s="11" t="n"/>
      <c r="E27" s="18" t="n"/>
      <c r="F27" s="11" t="n"/>
    </row>
    <row r="28">
      <c r="A28" s="13" t="n"/>
      <c r="B28" s="11" t="n"/>
      <c r="C28" s="11" t="n"/>
      <c r="D28" s="11" t="n"/>
      <c r="E28" s="18" t="n"/>
      <c r="F28" s="11" t="n"/>
    </row>
    <row r="29">
      <c r="A29" s="13" t="n"/>
      <c r="B29" s="11" t="n"/>
      <c r="C29" s="11" t="n"/>
      <c r="D29" s="11" t="n"/>
      <c r="E29" s="18" t="n"/>
      <c r="F29" s="11" t="n"/>
    </row>
    <row r="30">
      <c r="A30" s="13" t="n"/>
      <c r="B30" s="11" t="n"/>
      <c r="C30" s="11" t="n"/>
      <c r="D30" s="11" t="n"/>
      <c r="E30" s="18" t="n"/>
      <c r="F30" s="11" t="n"/>
    </row>
    <row r="31">
      <c r="A31" s="13" t="n"/>
      <c r="B31" s="11" t="n"/>
      <c r="C31" s="11" t="n"/>
      <c r="D31" s="11" t="n"/>
      <c r="E31" s="18" t="n"/>
      <c r="F31" s="11" t="n"/>
    </row>
    <row r="32">
      <c r="A32" s="13" t="n"/>
      <c r="B32" s="11" t="n"/>
      <c r="C32" s="11" t="n"/>
      <c r="D32" s="11" t="n"/>
      <c r="E32" s="18" t="n"/>
      <c r="F32" s="11" t="n"/>
    </row>
    <row r="33">
      <c r="A33" s="13" t="n"/>
      <c r="B33" s="11" t="n"/>
      <c r="C33" s="11" t="n"/>
      <c r="D33" s="11" t="n"/>
      <c r="E33" s="18" t="n"/>
      <c r="F33" s="11" t="n"/>
    </row>
    <row r="34">
      <c r="A34" s="13" t="n"/>
      <c r="B34" s="11" t="n"/>
      <c r="C34" s="11" t="n"/>
      <c r="D34" s="11" t="n"/>
      <c r="E34" s="18" t="n"/>
      <c r="F34" s="11" t="n"/>
    </row>
    <row r="35">
      <c r="A35" s="13" t="n"/>
      <c r="B35" s="11" t="n"/>
      <c r="C35" s="11" t="n"/>
      <c r="D35" s="11" t="n"/>
      <c r="E35" s="18" t="n"/>
      <c r="F35" s="11" t="n"/>
    </row>
    <row r="36">
      <c r="A36" s="13" t="n"/>
      <c r="B36" s="11" t="n"/>
      <c r="C36" s="11" t="n"/>
      <c r="D36" s="11" t="n"/>
      <c r="E36" s="18" t="n"/>
      <c r="F36" s="11" t="n"/>
    </row>
    <row r="37">
      <c r="A37" s="13" t="n"/>
      <c r="B37" s="11" t="n"/>
      <c r="C37" s="11" t="n"/>
      <c r="D37" s="11" t="n"/>
      <c r="E37" s="18" t="n"/>
      <c r="F37" s="11" t="n"/>
    </row>
    <row r="38">
      <c r="A38" s="13" t="n"/>
      <c r="B38" s="11" t="n"/>
      <c r="C38" s="11" t="n"/>
      <c r="D38" s="11" t="n"/>
      <c r="E38" s="18" t="n"/>
      <c r="F38" s="11" t="n"/>
    </row>
    <row r="39">
      <c r="A39" s="13" t="n"/>
      <c r="B39" s="11" t="n"/>
      <c r="C39" s="11" t="n"/>
      <c r="D39" s="11" t="n"/>
      <c r="E39" s="18" t="n"/>
      <c r="F39" s="11" t="n"/>
    </row>
    <row r="40">
      <c r="A40" s="13" t="n"/>
      <c r="B40" s="11" t="n"/>
      <c r="C40" s="11" t="n"/>
      <c r="D40" s="11" t="n"/>
      <c r="E40" s="18" t="n"/>
      <c r="F40" s="11" t="n"/>
    </row>
    <row r="41">
      <c r="A41" s="13" t="n"/>
      <c r="B41" s="11" t="n"/>
      <c r="C41" s="11" t="n"/>
      <c r="D41" s="11" t="n"/>
      <c r="E41" s="18" t="n"/>
      <c r="F41" s="11" t="n"/>
    </row>
    <row r="42">
      <c r="A42" s="13" t="n"/>
      <c r="B42" s="11" t="n"/>
      <c r="C42" s="11" t="n"/>
      <c r="D42" s="11" t="n"/>
      <c r="E42" s="18" t="n"/>
      <c r="F42" s="11" t="n"/>
    </row>
    <row r="43">
      <c r="A43" s="13" t="n"/>
      <c r="B43" s="11" t="n"/>
      <c r="C43" s="11" t="n"/>
      <c r="D43" s="11" t="n"/>
      <c r="E43" s="18" t="n"/>
      <c r="F43" s="11" t="n"/>
    </row>
    <row r="44">
      <c r="A44" s="13" t="n"/>
      <c r="B44" s="11" t="n"/>
      <c r="C44" s="11" t="n"/>
      <c r="D44" s="11" t="n"/>
      <c r="E44" s="18" t="n"/>
      <c r="F44" s="11" t="n"/>
    </row>
    <row r="45">
      <c r="A45" s="13" t="n"/>
      <c r="B45" s="11" t="n"/>
      <c r="C45" s="11" t="n"/>
      <c r="D45" s="11" t="n"/>
      <c r="E45" s="18" t="n"/>
      <c r="F45" s="11" t="n"/>
    </row>
    <row r="46">
      <c r="A46" s="13" t="n"/>
      <c r="B46" s="11" t="n"/>
      <c r="C46" s="11" t="n"/>
      <c r="D46" s="11" t="n"/>
      <c r="E46" s="18" t="n"/>
      <c r="F46" s="11" t="n"/>
    </row>
    <row r="47">
      <c r="A47" s="13" t="n"/>
      <c r="B47" s="11" t="n"/>
      <c r="C47" s="11" t="n"/>
      <c r="D47" s="11" t="n"/>
      <c r="E47" s="18" t="n"/>
      <c r="F47" s="11" t="n"/>
    </row>
    <row r="48">
      <c r="A48" s="13" t="n"/>
      <c r="B48" s="11" t="n"/>
      <c r="C48" s="11" t="n"/>
      <c r="D48" s="11" t="n"/>
      <c r="E48" s="18" t="n"/>
      <c r="F48" s="11" t="n"/>
    </row>
    <row r="49">
      <c r="A49" s="13" t="n"/>
      <c r="B49" s="11" t="n"/>
      <c r="C49" s="11" t="n"/>
      <c r="D49" s="11" t="n"/>
      <c r="E49" s="18" t="n"/>
      <c r="F49" s="11" t="n"/>
    </row>
    <row r="50">
      <c r="A50" s="13" t="n"/>
      <c r="B50" s="11" t="n"/>
      <c r="C50" s="11" t="n"/>
      <c r="D50" s="11" t="n"/>
      <c r="E50" s="18" t="n"/>
      <c r="F50" s="11" t="n"/>
    </row>
    <row r="51">
      <c r="A51" s="13" t="n"/>
      <c r="B51" s="11" t="n"/>
      <c r="C51" s="11" t="n"/>
      <c r="D51" s="11" t="n"/>
      <c r="E51" s="18" t="n"/>
      <c r="F51" s="11" t="n"/>
    </row>
    <row r="52">
      <c r="A52" s="13" t="n"/>
      <c r="B52" s="11" t="n"/>
      <c r="C52" s="11" t="n"/>
      <c r="D52" s="11" t="n"/>
      <c r="E52" s="18" t="n"/>
      <c r="F52" s="11" t="n"/>
    </row>
    <row r="53">
      <c r="A53" s="13" t="n"/>
      <c r="B53" s="11" t="n"/>
      <c r="C53" s="11" t="n"/>
      <c r="D53" s="11" t="n"/>
      <c r="E53" s="18" t="n"/>
      <c r="F53" s="11" t="n"/>
    </row>
    <row r="54">
      <c r="A54" s="13" t="n"/>
      <c r="B54" s="11" t="n"/>
      <c r="C54" s="11" t="n"/>
      <c r="D54" s="11" t="n"/>
      <c r="E54" s="18" t="n"/>
      <c r="F54" s="11" t="n"/>
    </row>
    <row r="55">
      <c r="A55" s="13" t="n"/>
      <c r="B55" s="11" t="n"/>
      <c r="C55" s="11" t="n"/>
      <c r="D55" s="11" t="n"/>
      <c r="E55" s="18" t="n"/>
      <c r="F55" s="11" t="n"/>
    </row>
    <row r="56">
      <c r="A56" s="13" t="n"/>
      <c r="B56" s="11" t="n"/>
      <c r="C56" s="11" t="n"/>
      <c r="D56" s="11" t="n"/>
      <c r="E56" s="18" t="n"/>
      <c r="F56" s="11" t="n"/>
    </row>
    <row r="57">
      <c r="A57" s="13" t="n"/>
      <c r="B57" s="11" t="n"/>
      <c r="C57" s="11" t="n"/>
      <c r="D57" s="11" t="n"/>
      <c r="E57" s="18" t="n"/>
      <c r="F57" s="11" t="n"/>
    </row>
    <row r="58">
      <c r="A58" s="13" t="n"/>
      <c r="B58" s="11" t="n"/>
      <c r="C58" s="11" t="n"/>
      <c r="D58" s="11" t="n"/>
      <c r="E58" s="18" t="n"/>
      <c r="F58" s="11" t="n"/>
    </row>
    <row r="59">
      <c r="A59" s="13" t="n"/>
      <c r="B59" s="11" t="n"/>
      <c r="C59" s="11" t="n"/>
      <c r="D59" s="11" t="n"/>
      <c r="E59" s="18" t="n"/>
      <c r="F59" s="11" t="n"/>
    </row>
    <row r="60">
      <c r="A60" s="13" t="n"/>
      <c r="B60" s="11" t="n"/>
      <c r="C60" s="11" t="n"/>
      <c r="D60" s="11" t="n"/>
      <c r="E60" s="18" t="n"/>
      <c r="F60" s="11" t="n"/>
    </row>
    <row r="62">
      <c r="A62" s="2" t="inlineStr">
        <is>
          <t>TOTAL ABONADO:</t>
        </is>
      </c>
      <c r="E62" s="19">
        <f>SUM(E3:E60)</f>
        <v/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30" customWidth="1" min="4" max="4"/>
    <col width="16" customWidth="1" min="5" max="5"/>
    <col width="30" customWidth="1" min="6" max="6"/>
  </cols>
  <sheetData>
    <row r="1" ht="28" customHeight="1">
      <c r="A1" s="1" t="inlineStr">
        <is>
          <t>🧾 GASTOS DEL VIAJE</t>
        </is>
      </c>
    </row>
    <row r="2" ht="32" customHeight="1">
      <c r="A2" s="10" t="inlineStr">
        <is>
          <t>Fecha</t>
        </is>
      </c>
      <c r="B2" s="10" t="inlineStr">
        <is>
          <t>Quién pagó</t>
        </is>
      </c>
      <c r="C2" s="10" t="inlineStr">
        <is>
          <t>Categoría</t>
        </is>
      </c>
      <c r="D2" s="10" t="inlineStr">
        <is>
          <t>Descripción</t>
        </is>
      </c>
      <c r="E2" s="10" t="inlineStr">
        <is>
          <t>Valor</t>
        </is>
      </c>
      <c r="F2" s="10" t="inlineStr">
        <is>
          <t>Nota</t>
        </is>
      </c>
    </row>
    <row r="3">
      <c r="A3" s="13" t="n"/>
      <c r="B3" s="11" t="n"/>
      <c r="C3" s="11" t="n"/>
      <c r="D3" s="11" t="n"/>
      <c r="E3" s="18" t="n"/>
      <c r="F3" s="11" t="n"/>
    </row>
    <row r="4">
      <c r="A4" s="13" t="n"/>
      <c r="B4" s="11" t="n"/>
      <c r="C4" s="11" t="n"/>
      <c r="D4" s="11" t="n"/>
      <c r="E4" s="18" t="n"/>
      <c r="F4" s="11" t="n"/>
    </row>
    <row r="5">
      <c r="A5" s="13" t="n"/>
      <c r="B5" s="11" t="n"/>
      <c r="C5" s="11" t="n"/>
      <c r="D5" s="11" t="n"/>
      <c r="E5" s="18" t="n"/>
      <c r="F5" s="11" t="n"/>
    </row>
    <row r="6">
      <c r="A6" s="13" t="n"/>
      <c r="B6" s="11" t="n"/>
      <c r="C6" s="11" t="n"/>
      <c r="D6" s="11" t="n"/>
      <c r="E6" s="18" t="n"/>
      <c r="F6" s="11" t="n"/>
    </row>
    <row r="7">
      <c r="A7" s="13" t="n"/>
      <c r="B7" s="11" t="n"/>
      <c r="C7" s="11" t="n"/>
      <c r="D7" s="11" t="n"/>
      <c r="E7" s="18" t="n"/>
      <c r="F7" s="11" t="n"/>
    </row>
    <row r="8">
      <c r="A8" s="13" t="n"/>
      <c r="B8" s="11" t="n"/>
      <c r="C8" s="11" t="n"/>
      <c r="D8" s="11" t="n"/>
      <c r="E8" s="18" t="n"/>
      <c r="F8" s="11" t="n"/>
    </row>
    <row r="9">
      <c r="A9" s="13" t="n"/>
      <c r="B9" s="11" t="n"/>
      <c r="C9" s="11" t="n"/>
      <c r="D9" s="11" t="n"/>
      <c r="E9" s="18" t="n"/>
      <c r="F9" s="11" t="n"/>
    </row>
    <row r="10">
      <c r="A10" s="13" t="n"/>
      <c r="B10" s="11" t="n"/>
      <c r="C10" s="11" t="n"/>
      <c r="D10" s="11" t="n"/>
      <c r="E10" s="18" t="n"/>
      <c r="F10" s="11" t="n"/>
    </row>
    <row r="11">
      <c r="A11" s="13" t="n"/>
      <c r="B11" s="11" t="n"/>
      <c r="C11" s="11" t="n"/>
      <c r="D11" s="11" t="n"/>
      <c r="E11" s="18" t="n"/>
      <c r="F11" s="11" t="n"/>
    </row>
    <row r="12">
      <c r="A12" s="13" t="n"/>
      <c r="B12" s="11" t="n"/>
      <c r="C12" s="11" t="n"/>
      <c r="D12" s="11" t="n"/>
      <c r="E12" s="18" t="n"/>
      <c r="F12" s="11" t="n"/>
    </row>
    <row r="13">
      <c r="A13" s="13" t="n"/>
      <c r="B13" s="11" t="n"/>
      <c r="C13" s="11" t="n"/>
      <c r="D13" s="11" t="n"/>
      <c r="E13" s="18" t="n"/>
      <c r="F13" s="11" t="n"/>
    </row>
    <row r="14">
      <c r="A14" s="13" t="n"/>
      <c r="B14" s="11" t="n"/>
      <c r="C14" s="11" t="n"/>
      <c r="D14" s="11" t="n"/>
      <c r="E14" s="18" t="n"/>
      <c r="F14" s="11" t="n"/>
    </row>
    <row r="15">
      <c r="A15" s="13" t="n"/>
      <c r="B15" s="11" t="n"/>
      <c r="C15" s="11" t="n"/>
      <c r="D15" s="11" t="n"/>
      <c r="E15" s="18" t="n"/>
      <c r="F15" s="11" t="n"/>
    </row>
    <row r="16">
      <c r="A16" s="13" t="n"/>
      <c r="B16" s="11" t="n"/>
      <c r="C16" s="11" t="n"/>
      <c r="D16" s="11" t="n"/>
      <c r="E16" s="18" t="n"/>
      <c r="F16" s="11" t="n"/>
    </row>
    <row r="17">
      <c r="A17" s="13" t="n"/>
      <c r="B17" s="11" t="n"/>
      <c r="C17" s="11" t="n"/>
      <c r="D17" s="11" t="n"/>
      <c r="E17" s="18" t="n"/>
      <c r="F17" s="11" t="n"/>
    </row>
    <row r="18">
      <c r="A18" s="13" t="n"/>
      <c r="B18" s="11" t="n"/>
      <c r="C18" s="11" t="n"/>
      <c r="D18" s="11" t="n"/>
      <c r="E18" s="18" t="n"/>
      <c r="F18" s="11" t="n"/>
    </row>
    <row r="19">
      <c r="A19" s="13" t="n"/>
      <c r="B19" s="11" t="n"/>
      <c r="C19" s="11" t="n"/>
      <c r="D19" s="11" t="n"/>
      <c r="E19" s="18" t="n"/>
      <c r="F19" s="11" t="n"/>
    </row>
    <row r="20">
      <c r="A20" s="13" t="n"/>
      <c r="B20" s="11" t="n"/>
      <c r="C20" s="11" t="n"/>
      <c r="D20" s="11" t="n"/>
      <c r="E20" s="18" t="n"/>
      <c r="F20" s="11" t="n"/>
    </row>
    <row r="21">
      <c r="A21" s="13" t="n"/>
      <c r="B21" s="11" t="n"/>
      <c r="C21" s="11" t="n"/>
      <c r="D21" s="11" t="n"/>
      <c r="E21" s="18" t="n"/>
      <c r="F21" s="11" t="n"/>
    </row>
    <row r="22">
      <c r="A22" s="13" t="n"/>
      <c r="B22" s="11" t="n"/>
      <c r="C22" s="11" t="n"/>
      <c r="D22" s="11" t="n"/>
      <c r="E22" s="18" t="n"/>
      <c r="F22" s="11" t="n"/>
    </row>
    <row r="23">
      <c r="A23" s="13" t="n"/>
      <c r="B23" s="11" t="n"/>
      <c r="C23" s="11" t="n"/>
      <c r="D23" s="11" t="n"/>
      <c r="E23" s="18" t="n"/>
      <c r="F23" s="11" t="n"/>
    </row>
    <row r="24">
      <c r="A24" s="13" t="n"/>
      <c r="B24" s="11" t="n"/>
      <c r="C24" s="11" t="n"/>
      <c r="D24" s="11" t="n"/>
      <c r="E24" s="18" t="n"/>
      <c r="F24" s="11" t="n"/>
    </row>
    <row r="25">
      <c r="A25" s="13" t="n"/>
      <c r="B25" s="11" t="n"/>
      <c r="C25" s="11" t="n"/>
      <c r="D25" s="11" t="n"/>
      <c r="E25" s="18" t="n"/>
      <c r="F25" s="11" t="n"/>
    </row>
    <row r="26">
      <c r="A26" s="13" t="n"/>
      <c r="B26" s="11" t="n"/>
      <c r="C26" s="11" t="n"/>
      <c r="D26" s="11" t="n"/>
      <c r="E26" s="18" t="n"/>
      <c r="F26" s="11" t="n"/>
    </row>
    <row r="27">
      <c r="A27" s="13" t="n"/>
      <c r="B27" s="11" t="n"/>
      <c r="C27" s="11" t="n"/>
      <c r="D27" s="11" t="n"/>
      <c r="E27" s="18" t="n"/>
      <c r="F27" s="11" t="n"/>
    </row>
    <row r="28">
      <c r="A28" s="13" t="n"/>
      <c r="B28" s="11" t="n"/>
      <c r="C28" s="11" t="n"/>
      <c r="D28" s="11" t="n"/>
      <c r="E28" s="18" t="n"/>
      <c r="F28" s="11" t="n"/>
    </row>
    <row r="29">
      <c r="A29" s="13" t="n"/>
      <c r="B29" s="11" t="n"/>
      <c r="C29" s="11" t="n"/>
      <c r="D29" s="11" t="n"/>
      <c r="E29" s="18" t="n"/>
      <c r="F29" s="11" t="n"/>
    </row>
    <row r="30">
      <c r="A30" s="13" t="n"/>
      <c r="B30" s="11" t="n"/>
      <c r="C30" s="11" t="n"/>
      <c r="D30" s="11" t="n"/>
      <c r="E30" s="18" t="n"/>
      <c r="F30" s="11" t="n"/>
    </row>
    <row r="31">
      <c r="A31" s="13" t="n"/>
      <c r="B31" s="11" t="n"/>
      <c r="C31" s="11" t="n"/>
      <c r="D31" s="11" t="n"/>
      <c r="E31" s="18" t="n"/>
      <c r="F31" s="11" t="n"/>
    </row>
    <row r="32">
      <c r="A32" s="13" t="n"/>
      <c r="B32" s="11" t="n"/>
      <c r="C32" s="11" t="n"/>
      <c r="D32" s="11" t="n"/>
      <c r="E32" s="18" t="n"/>
      <c r="F32" s="11" t="n"/>
    </row>
    <row r="33">
      <c r="A33" s="13" t="n"/>
      <c r="B33" s="11" t="n"/>
      <c r="C33" s="11" t="n"/>
      <c r="D33" s="11" t="n"/>
      <c r="E33" s="18" t="n"/>
      <c r="F33" s="11" t="n"/>
    </row>
    <row r="34">
      <c r="A34" s="13" t="n"/>
      <c r="B34" s="11" t="n"/>
      <c r="C34" s="11" t="n"/>
      <c r="D34" s="11" t="n"/>
      <c r="E34" s="18" t="n"/>
      <c r="F34" s="11" t="n"/>
    </row>
    <row r="35">
      <c r="A35" s="13" t="n"/>
      <c r="B35" s="11" t="n"/>
      <c r="C35" s="11" t="n"/>
      <c r="D35" s="11" t="n"/>
      <c r="E35" s="18" t="n"/>
      <c r="F35" s="11" t="n"/>
    </row>
    <row r="36">
      <c r="A36" s="13" t="n"/>
      <c r="B36" s="11" t="n"/>
      <c r="C36" s="11" t="n"/>
      <c r="D36" s="11" t="n"/>
      <c r="E36" s="18" t="n"/>
      <c r="F36" s="11" t="n"/>
    </row>
    <row r="37">
      <c r="A37" s="13" t="n"/>
      <c r="B37" s="11" t="n"/>
      <c r="C37" s="11" t="n"/>
      <c r="D37" s="11" t="n"/>
      <c r="E37" s="18" t="n"/>
      <c r="F37" s="11" t="n"/>
    </row>
    <row r="38">
      <c r="A38" s="13" t="n"/>
      <c r="B38" s="11" t="n"/>
      <c r="C38" s="11" t="n"/>
      <c r="D38" s="11" t="n"/>
      <c r="E38" s="18" t="n"/>
      <c r="F38" s="11" t="n"/>
    </row>
    <row r="39">
      <c r="A39" s="13" t="n"/>
      <c r="B39" s="11" t="n"/>
      <c r="C39" s="11" t="n"/>
      <c r="D39" s="11" t="n"/>
      <c r="E39" s="18" t="n"/>
      <c r="F39" s="11" t="n"/>
    </row>
    <row r="40">
      <c r="A40" s="13" t="n"/>
      <c r="B40" s="11" t="n"/>
      <c r="C40" s="11" t="n"/>
      <c r="D40" s="11" t="n"/>
      <c r="E40" s="18" t="n"/>
      <c r="F40" s="11" t="n"/>
    </row>
    <row r="41">
      <c r="A41" s="13" t="n"/>
      <c r="B41" s="11" t="n"/>
      <c r="C41" s="11" t="n"/>
      <c r="D41" s="11" t="n"/>
      <c r="E41" s="18" t="n"/>
      <c r="F41" s="11" t="n"/>
    </row>
    <row r="42">
      <c r="A42" s="13" t="n"/>
      <c r="B42" s="11" t="n"/>
      <c r="C42" s="11" t="n"/>
      <c r="D42" s="11" t="n"/>
      <c r="E42" s="18" t="n"/>
      <c r="F42" s="11" t="n"/>
    </row>
    <row r="43">
      <c r="A43" s="13" t="n"/>
      <c r="B43" s="11" t="n"/>
      <c r="C43" s="11" t="n"/>
      <c r="D43" s="11" t="n"/>
      <c r="E43" s="18" t="n"/>
      <c r="F43" s="11" t="n"/>
    </row>
    <row r="44">
      <c r="A44" s="13" t="n"/>
      <c r="B44" s="11" t="n"/>
      <c r="C44" s="11" t="n"/>
      <c r="D44" s="11" t="n"/>
      <c r="E44" s="18" t="n"/>
      <c r="F44" s="11" t="n"/>
    </row>
    <row r="45">
      <c r="A45" s="13" t="n"/>
      <c r="B45" s="11" t="n"/>
      <c r="C45" s="11" t="n"/>
      <c r="D45" s="11" t="n"/>
      <c r="E45" s="18" t="n"/>
      <c r="F45" s="11" t="n"/>
    </row>
    <row r="46">
      <c r="A46" s="13" t="n"/>
      <c r="B46" s="11" t="n"/>
      <c r="C46" s="11" t="n"/>
      <c r="D46" s="11" t="n"/>
      <c r="E46" s="18" t="n"/>
      <c r="F46" s="11" t="n"/>
    </row>
    <row r="47">
      <c r="A47" s="13" t="n"/>
      <c r="B47" s="11" t="n"/>
      <c r="C47" s="11" t="n"/>
      <c r="D47" s="11" t="n"/>
      <c r="E47" s="18" t="n"/>
      <c r="F47" s="11" t="n"/>
    </row>
    <row r="48">
      <c r="A48" s="13" t="n"/>
      <c r="B48" s="11" t="n"/>
      <c r="C48" s="11" t="n"/>
      <c r="D48" s="11" t="n"/>
      <c r="E48" s="18" t="n"/>
      <c r="F48" s="11" t="n"/>
    </row>
    <row r="49">
      <c r="A49" s="13" t="n"/>
      <c r="B49" s="11" t="n"/>
      <c r="C49" s="11" t="n"/>
      <c r="D49" s="11" t="n"/>
      <c r="E49" s="18" t="n"/>
      <c r="F49" s="11" t="n"/>
    </row>
    <row r="50">
      <c r="A50" s="13" t="n"/>
      <c r="B50" s="11" t="n"/>
      <c r="C50" s="11" t="n"/>
      <c r="D50" s="11" t="n"/>
      <c r="E50" s="18" t="n"/>
      <c r="F50" s="11" t="n"/>
    </row>
    <row r="51">
      <c r="A51" s="13" t="n"/>
      <c r="B51" s="11" t="n"/>
      <c r="C51" s="11" t="n"/>
      <c r="D51" s="11" t="n"/>
      <c r="E51" s="18" t="n"/>
      <c r="F51" s="11" t="n"/>
    </row>
    <row r="52">
      <c r="A52" s="13" t="n"/>
      <c r="B52" s="11" t="n"/>
      <c r="C52" s="11" t="n"/>
      <c r="D52" s="11" t="n"/>
      <c r="E52" s="18" t="n"/>
      <c r="F52" s="11" t="n"/>
    </row>
    <row r="53">
      <c r="A53" s="13" t="n"/>
      <c r="B53" s="11" t="n"/>
      <c r="C53" s="11" t="n"/>
      <c r="D53" s="11" t="n"/>
      <c r="E53" s="18" t="n"/>
      <c r="F53" s="11" t="n"/>
    </row>
    <row r="54">
      <c r="A54" s="13" t="n"/>
      <c r="B54" s="11" t="n"/>
      <c r="C54" s="11" t="n"/>
      <c r="D54" s="11" t="n"/>
      <c r="E54" s="18" t="n"/>
      <c r="F54" s="11" t="n"/>
    </row>
    <row r="55">
      <c r="A55" s="13" t="n"/>
      <c r="B55" s="11" t="n"/>
      <c r="C55" s="11" t="n"/>
      <c r="D55" s="11" t="n"/>
      <c r="E55" s="18" t="n"/>
      <c r="F55" s="11" t="n"/>
    </row>
    <row r="56">
      <c r="A56" s="13" t="n"/>
      <c r="B56" s="11" t="n"/>
      <c r="C56" s="11" t="n"/>
      <c r="D56" s="11" t="n"/>
      <c r="E56" s="18" t="n"/>
      <c r="F56" s="11" t="n"/>
    </row>
    <row r="57">
      <c r="A57" s="13" t="n"/>
      <c r="B57" s="11" t="n"/>
      <c r="C57" s="11" t="n"/>
      <c r="D57" s="11" t="n"/>
      <c r="E57" s="18" t="n"/>
      <c r="F57" s="11" t="n"/>
    </row>
    <row r="58">
      <c r="A58" s="13" t="n"/>
      <c r="B58" s="11" t="n"/>
      <c r="C58" s="11" t="n"/>
      <c r="D58" s="11" t="n"/>
      <c r="E58" s="18" t="n"/>
      <c r="F58" s="11" t="n"/>
    </row>
    <row r="59">
      <c r="A59" s="13" t="n"/>
      <c r="B59" s="11" t="n"/>
      <c r="C59" s="11" t="n"/>
      <c r="D59" s="11" t="n"/>
      <c r="E59" s="18" t="n"/>
      <c r="F59" s="11" t="n"/>
    </row>
    <row r="60">
      <c r="A60" s="13" t="n"/>
      <c r="B60" s="11" t="n"/>
      <c r="C60" s="11" t="n"/>
      <c r="D60" s="11" t="n"/>
      <c r="E60" s="18" t="n"/>
      <c r="F60" s="11" t="n"/>
    </row>
    <row r="61">
      <c r="A61" s="13" t="n"/>
      <c r="B61" s="11" t="n"/>
      <c r="C61" s="11" t="n"/>
      <c r="D61" s="11" t="n"/>
      <c r="E61" s="18" t="n"/>
      <c r="F61" s="11" t="n"/>
    </row>
    <row r="62">
      <c r="A62" s="13" t="n"/>
      <c r="B62" s="11" t="n"/>
      <c r="C62" s="11" t="n"/>
      <c r="D62" s="11" t="n"/>
      <c r="E62" s="18" t="n"/>
      <c r="F62" s="11" t="n"/>
    </row>
    <row r="63">
      <c r="A63" s="13" t="n"/>
      <c r="B63" s="11" t="n"/>
      <c r="C63" s="11" t="n"/>
      <c r="D63" s="11" t="n"/>
      <c r="E63" s="18" t="n"/>
      <c r="F63" s="11" t="n"/>
    </row>
    <row r="64">
      <c r="A64" s="13" t="n"/>
      <c r="B64" s="11" t="n"/>
      <c r="C64" s="11" t="n"/>
      <c r="D64" s="11" t="n"/>
      <c r="E64" s="18" t="n"/>
      <c r="F64" s="11" t="n"/>
    </row>
    <row r="65">
      <c r="A65" s="13" t="n"/>
      <c r="B65" s="11" t="n"/>
      <c r="C65" s="11" t="n"/>
      <c r="D65" s="11" t="n"/>
      <c r="E65" s="18" t="n"/>
      <c r="F65" s="11" t="n"/>
    </row>
    <row r="66">
      <c r="A66" s="13" t="n"/>
      <c r="B66" s="11" t="n"/>
      <c r="C66" s="11" t="n"/>
      <c r="D66" s="11" t="n"/>
      <c r="E66" s="18" t="n"/>
      <c r="F66" s="11" t="n"/>
    </row>
    <row r="67">
      <c r="A67" s="13" t="n"/>
      <c r="B67" s="11" t="n"/>
      <c r="C67" s="11" t="n"/>
      <c r="D67" s="11" t="n"/>
      <c r="E67" s="18" t="n"/>
      <c r="F67" s="11" t="n"/>
    </row>
    <row r="68">
      <c r="A68" s="13" t="n"/>
      <c r="B68" s="11" t="n"/>
      <c r="C68" s="11" t="n"/>
      <c r="D68" s="11" t="n"/>
      <c r="E68" s="18" t="n"/>
      <c r="F68" s="11" t="n"/>
    </row>
    <row r="69">
      <c r="A69" s="13" t="n"/>
      <c r="B69" s="11" t="n"/>
      <c r="C69" s="11" t="n"/>
      <c r="D69" s="11" t="n"/>
      <c r="E69" s="18" t="n"/>
      <c r="F69" s="11" t="n"/>
    </row>
    <row r="70">
      <c r="A70" s="13" t="n"/>
      <c r="B70" s="11" t="n"/>
      <c r="C70" s="11" t="n"/>
      <c r="D70" s="11" t="n"/>
      <c r="E70" s="18" t="n"/>
      <c r="F70" s="11" t="n"/>
    </row>
    <row r="71">
      <c r="A71" s="13" t="n"/>
      <c r="B71" s="11" t="n"/>
      <c r="C71" s="11" t="n"/>
      <c r="D71" s="11" t="n"/>
      <c r="E71" s="18" t="n"/>
      <c r="F71" s="11" t="n"/>
    </row>
    <row r="72">
      <c r="A72" s="13" t="n"/>
      <c r="B72" s="11" t="n"/>
      <c r="C72" s="11" t="n"/>
      <c r="D72" s="11" t="n"/>
      <c r="E72" s="18" t="n"/>
      <c r="F72" s="11" t="n"/>
    </row>
    <row r="73">
      <c r="A73" s="13" t="n"/>
      <c r="B73" s="11" t="n"/>
      <c r="C73" s="11" t="n"/>
      <c r="D73" s="11" t="n"/>
      <c r="E73" s="18" t="n"/>
      <c r="F73" s="11" t="n"/>
    </row>
    <row r="74">
      <c r="A74" s="13" t="n"/>
      <c r="B74" s="11" t="n"/>
      <c r="C74" s="11" t="n"/>
      <c r="D74" s="11" t="n"/>
      <c r="E74" s="18" t="n"/>
      <c r="F74" s="11" t="n"/>
    </row>
    <row r="75">
      <c r="A75" s="13" t="n"/>
      <c r="B75" s="11" t="n"/>
      <c r="C75" s="11" t="n"/>
      <c r="D75" s="11" t="n"/>
      <c r="E75" s="18" t="n"/>
      <c r="F75" s="11" t="n"/>
    </row>
    <row r="76">
      <c r="A76" s="13" t="n"/>
      <c r="B76" s="11" t="n"/>
      <c r="C76" s="11" t="n"/>
      <c r="D76" s="11" t="n"/>
      <c r="E76" s="18" t="n"/>
      <c r="F76" s="11" t="n"/>
    </row>
    <row r="77">
      <c r="A77" s="13" t="n"/>
      <c r="B77" s="11" t="n"/>
      <c r="C77" s="11" t="n"/>
      <c r="D77" s="11" t="n"/>
      <c r="E77" s="18" t="n"/>
      <c r="F77" s="11" t="n"/>
    </row>
    <row r="78">
      <c r="A78" s="13" t="n"/>
      <c r="B78" s="11" t="n"/>
      <c r="C78" s="11" t="n"/>
      <c r="D78" s="11" t="n"/>
      <c r="E78" s="18" t="n"/>
      <c r="F78" s="11" t="n"/>
    </row>
    <row r="79">
      <c r="A79" s="13" t="n"/>
      <c r="B79" s="11" t="n"/>
      <c r="C79" s="11" t="n"/>
      <c r="D79" s="11" t="n"/>
      <c r="E79" s="18" t="n"/>
      <c r="F79" s="11" t="n"/>
    </row>
    <row r="80">
      <c r="A80" s="13" t="n"/>
      <c r="B80" s="11" t="n"/>
      <c r="C80" s="11" t="n"/>
      <c r="D80" s="11" t="n"/>
      <c r="E80" s="18" t="n"/>
      <c r="F80" s="11" t="n"/>
    </row>
    <row r="81">
      <c r="A81" s="13" t="n"/>
      <c r="B81" s="11" t="n"/>
      <c r="C81" s="11" t="n"/>
      <c r="D81" s="11" t="n"/>
      <c r="E81" s="18" t="n"/>
      <c r="F81" s="11" t="n"/>
    </row>
    <row r="82">
      <c r="A82" s="13" t="n"/>
      <c r="B82" s="11" t="n"/>
      <c r="C82" s="11" t="n"/>
      <c r="D82" s="11" t="n"/>
      <c r="E82" s="18" t="n"/>
      <c r="F82" s="11" t="n"/>
    </row>
    <row r="83">
      <c r="A83" s="13" t="n"/>
      <c r="B83" s="11" t="n"/>
      <c r="C83" s="11" t="n"/>
      <c r="D83" s="11" t="n"/>
      <c r="E83" s="18" t="n"/>
      <c r="F83" s="11" t="n"/>
    </row>
    <row r="84">
      <c r="A84" s="13" t="n"/>
      <c r="B84" s="11" t="n"/>
      <c r="C84" s="11" t="n"/>
      <c r="D84" s="11" t="n"/>
      <c r="E84" s="18" t="n"/>
      <c r="F84" s="11" t="n"/>
    </row>
    <row r="85">
      <c r="A85" s="13" t="n"/>
      <c r="B85" s="11" t="n"/>
      <c r="C85" s="11" t="n"/>
      <c r="D85" s="11" t="n"/>
      <c r="E85" s="18" t="n"/>
      <c r="F85" s="11" t="n"/>
    </row>
    <row r="86">
      <c r="A86" s="13" t="n"/>
      <c r="B86" s="11" t="n"/>
      <c r="C86" s="11" t="n"/>
      <c r="D86" s="11" t="n"/>
      <c r="E86" s="18" t="n"/>
      <c r="F86" s="11" t="n"/>
    </row>
    <row r="87">
      <c r="A87" s="13" t="n"/>
      <c r="B87" s="11" t="n"/>
      <c r="C87" s="11" t="n"/>
      <c r="D87" s="11" t="n"/>
      <c r="E87" s="18" t="n"/>
      <c r="F87" s="11" t="n"/>
    </row>
    <row r="88">
      <c r="A88" s="13" t="n"/>
      <c r="B88" s="11" t="n"/>
      <c r="C88" s="11" t="n"/>
      <c r="D88" s="11" t="n"/>
      <c r="E88" s="18" t="n"/>
      <c r="F88" s="11" t="n"/>
    </row>
    <row r="89">
      <c r="A89" s="13" t="n"/>
      <c r="B89" s="11" t="n"/>
      <c r="C89" s="11" t="n"/>
      <c r="D89" s="11" t="n"/>
      <c r="E89" s="18" t="n"/>
      <c r="F89" s="11" t="n"/>
    </row>
    <row r="90">
      <c r="A90" s="13" t="n"/>
      <c r="B90" s="11" t="n"/>
      <c r="C90" s="11" t="n"/>
      <c r="D90" s="11" t="n"/>
      <c r="E90" s="18" t="n"/>
      <c r="F90" s="11" t="n"/>
    </row>
    <row r="91">
      <c r="A91" s="13" t="n"/>
      <c r="B91" s="11" t="n"/>
      <c r="C91" s="11" t="n"/>
      <c r="D91" s="11" t="n"/>
      <c r="E91" s="18" t="n"/>
      <c r="F91" s="11" t="n"/>
    </row>
    <row r="92">
      <c r="A92" s="13" t="n"/>
      <c r="B92" s="11" t="n"/>
      <c r="C92" s="11" t="n"/>
      <c r="D92" s="11" t="n"/>
      <c r="E92" s="18" t="n"/>
      <c r="F92" s="11" t="n"/>
    </row>
    <row r="93">
      <c r="A93" s="13" t="n"/>
      <c r="B93" s="11" t="n"/>
      <c r="C93" s="11" t="n"/>
      <c r="D93" s="11" t="n"/>
      <c r="E93" s="18" t="n"/>
      <c r="F93" s="11" t="n"/>
    </row>
    <row r="94">
      <c r="A94" s="13" t="n"/>
      <c r="B94" s="11" t="n"/>
      <c r="C94" s="11" t="n"/>
      <c r="D94" s="11" t="n"/>
      <c r="E94" s="18" t="n"/>
      <c r="F94" s="11" t="n"/>
    </row>
    <row r="95">
      <c r="A95" s="13" t="n"/>
      <c r="B95" s="11" t="n"/>
      <c r="C95" s="11" t="n"/>
      <c r="D95" s="11" t="n"/>
      <c r="E95" s="18" t="n"/>
      <c r="F95" s="11" t="n"/>
    </row>
    <row r="96">
      <c r="A96" s="13" t="n"/>
      <c r="B96" s="11" t="n"/>
      <c r="C96" s="11" t="n"/>
      <c r="D96" s="11" t="n"/>
      <c r="E96" s="18" t="n"/>
      <c r="F96" s="11" t="n"/>
    </row>
    <row r="97">
      <c r="A97" s="13" t="n"/>
      <c r="B97" s="11" t="n"/>
      <c r="C97" s="11" t="n"/>
      <c r="D97" s="11" t="n"/>
      <c r="E97" s="18" t="n"/>
      <c r="F97" s="11" t="n"/>
    </row>
    <row r="98">
      <c r="A98" s="13" t="n"/>
      <c r="B98" s="11" t="n"/>
      <c r="C98" s="11" t="n"/>
      <c r="D98" s="11" t="n"/>
      <c r="E98" s="18" t="n"/>
      <c r="F98" s="11" t="n"/>
    </row>
    <row r="99">
      <c r="A99" s="13" t="n"/>
      <c r="B99" s="11" t="n"/>
      <c r="C99" s="11" t="n"/>
      <c r="D99" s="11" t="n"/>
      <c r="E99" s="18" t="n"/>
      <c r="F99" s="11" t="n"/>
    </row>
    <row r="100">
      <c r="A100" s="13" t="n"/>
      <c r="B100" s="11" t="n"/>
      <c r="C100" s="11" t="n"/>
      <c r="D100" s="11" t="n"/>
      <c r="E100" s="18" t="n"/>
      <c r="F100" s="11" t="n"/>
    </row>
    <row r="102">
      <c r="A102" s="2" t="inlineStr">
        <is>
          <t>TOTAL GASTOS:</t>
        </is>
      </c>
      <c r="E102" s="19">
        <f>SUM(E3:E100)</f>
        <v/>
      </c>
    </row>
  </sheetData>
  <mergeCells count="1">
    <mergeCell ref="A1:F1"/>
  </mergeCells>
  <dataValidations count="1">
    <dataValidation sqref="C3:C100" showDropDown="0" showInputMessage="0" showErrorMessage="0" allowBlank="1" type="list">
      <formula1>"Comida/Mercado/Bebidas,Transporte,Actividades/Paseos,Otros"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0" customWidth="1" min="3" max="3"/>
    <col width="16" customWidth="1" min="4" max="4"/>
    <col width="16" customWidth="1" min="5" max="5"/>
    <col width="16" customWidth="1" min="6" max="6"/>
    <col width="16" customWidth="1" min="7" max="7"/>
    <col width="18" customWidth="1" min="8" max="8"/>
  </cols>
  <sheetData>
    <row r="1" ht="28" customHeight="1">
      <c r="A1" s="1" t="inlineStr">
        <is>
          <t>⚖️ BALANCE POR PERSONA</t>
        </is>
      </c>
    </row>
    <row r="2" ht="32" customHeight="1">
      <c r="A2" s="10" t="inlineStr">
        <is>
          <t>Nombre</t>
        </is>
      </c>
      <c r="B2" s="10" t="inlineStr">
        <is>
          <t>Grupo familiar</t>
        </is>
      </c>
      <c r="C2" s="10" t="inlineStr">
        <is>
          <t>Noches</t>
        </is>
      </c>
      <c r="D2" s="10" t="inlineStr">
        <is>
          <t>Costo cabaña
(prorrateado)</t>
        </is>
      </c>
      <c r="E2" s="10" t="inlineStr">
        <is>
          <t>Parte gastos
variables</t>
        </is>
      </c>
      <c r="F2" s="10" t="inlineStr">
        <is>
          <t>Total a cargo</t>
        </is>
      </c>
      <c r="G2" s="10" t="inlineStr">
        <is>
          <t>Total abonado</t>
        </is>
      </c>
      <c r="H2" s="10" t="inlineStr">
        <is>
          <t>Saldo
(a favor / debe)</t>
        </is>
      </c>
    </row>
    <row r="3">
      <c r="A3" s="11">
        <f>Personas!A3</f>
        <v/>
      </c>
      <c r="B3" s="11">
        <f>Personas!B3</f>
        <v/>
      </c>
      <c r="C3" s="11">
        <f>Personas!C3</f>
        <v/>
      </c>
      <c r="D3" s="18">
        <f>Personas!C3*(Cabaña!$B$5/Personas!$C$17)</f>
        <v/>
      </c>
      <c r="E3" s="18">
        <f>IF(Personas!D3="Sí",Gastos!$E$102/COUNTIF(Personas!$D$3:$D$15,"Sí"),0)</f>
        <v/>
      </c>
      <c r="F3" s="18">
        <f>D3+E3</f>
        <v/>
      </c>
      <c r="G3" s="18">
        <f>SUMIF(Abonos!$B$3:$B$60,A3,Abonos!$E$3:$E$60)</f>
        <v/>
      </c>
      <c r="H3" s="18">
        <f>G3-F3</f>
        <v/>
      </c>
    </row>
    <row r="4">
      <c r="A4" s="11">
        <f>Personas!A4</f>
        <v/>
      </c>
      <c r="B4" s="11">
        <f>Personas!B4</f>
        <v/>
      </c>
      <c r="C4" s="11">
        <f>Personas!C4</f>
        <v/>
      </c>
      <c r="D4" s="18">
        <f>Personas!C4*(Cabaña!$B$5/Personas!$C$17)</f>
        <v/>
      </c>
      <c r="E4" s="18">
        <f>IF(Personas!D4="Sí",Gastos!$E$102/COUNTIF(Personas!$D$3:$D$15,"Sí"),0)</f>
        <v/>
      </c>
      <c r="F4" s="18">
        <f>D4+E4</f>
        <v/>
      </c>
      <c r="G4" s="18">
        <f>SUMIF(Abonos!$B$3:$B$60,A4,Abonos!$E$3:$E$60)</f>
        <v/>
      </c>
      <c r="H4" s="18">
        <f>G4-F4</f>
        <v/>
      </c>
    </row>
    <row r="5">
      <c r="A5" s="11">
        <f>Personas!A5</f>
        <v/>
      </c>
      <c r="B5" s="11">
        <f>Personas!B5</f>
        <v/>
      </c>
      <c r="C5" s="11">
        <f>Personas!C5</f>
        <v/>
      </c>
      <c r="D5" s="18">
        <f>Personas!C5*(Cabaña!$B$5/Personas!$C$17)</f>
        <v/>
      </c>
      <c r="E5" s="18">
        <f>IF(Personas!D5="Sí",Gastos!$E$102/COUNTIF(Personas!$D$3:$D$15,"Sí"),0)</f>
        <v/>
      </c>
      <c r="F5" s="18">
        <f>D5+E5</f>
        <v/>
      </c>
      <c r="G5" s="18">
        <f>SUMIF(Abonos!$B$3:$B$60,A5,Abonos!$E$3:$E$60)</f>
        <v/>
      </c>
      <c r="H5" s="18">
        <f>G5-F5</f>
        <v/>
      </c>
    </row>
    <row r="6">
      <c r="A6" s="11">
        <f>Personas!A6</f>
        <v/>
      </c>
      <c r="B6" s="11">
        <f>Personas!B6</f>
        <v/>
      </c>
      <c r="C6" s="11">
        <f>Personas!C6</f>
        <v/>
      </c>
      <c r="D6" s="18">
        <f>Personas!C6*(Cabaña!$B$5/Personas!$C$17)</f>
        <v/>
      </c>
      <c r="E6" s="18">
        <f>IF(Personas!D6="Sí",Gastos!$E$102/COUNTIF(Personas!$D$3:$D$15,"Sí"),0)</f>
        <v/>
      </c>
      <c r="F6" s="18">
        <f>D6+E6</f>
        <v/>
      </c>
      <c r="G6" s="18">
        <f>SUMIF(Abonos!$B$3:$B$60,A6,Abonos!$E$3:$E$60)</f>
        <v/>
      </c>
      <c r="H6" s="18">
        <f>G6-F6</f>
        <v/>
      </c>
    </row>
    <row r="7">
      <c r="A7" s="11">
        <f>Personas!A7</f>
        <v/>
      </c>
      <c r="B7" s="11">
        <f>Personas!B7</f>
        <v/>
      </c>
      <c r="C7" s="11">
        <f>Personas!C7</f>
        <v/>
      </c>
      <c r="D7" s="18">
        <f>Personas!C7*(Cabaña!$B$5/Personas!$C$17)</f>
        <v/>
      </c>
      <c r="E7" s="18">
        <f>IF(Personas!D7="Sí",Gastos!$E$102/COUNTIF(Personas!$D$3:$D$15,"Sí"),0)</f>
        <v/>
      </c>
      <c r="F7" s="18">
        <f>D7+E7</f>
        <v/>
      </c>
      <c r="G7" s="18">
        <f>SUMIF(Abonos!$B$3:$B$60,A7,Abonos!$E$3:$E$60)</f>
        <v/>
      </c>
      <c r="H7" s="18">
        <f>G7-F7</f>
        <v/>
      </c>
    </row>
    <row r="8">
      <c r="A8" s="11">
        <f>Personas!A8</f>
        <v/>
      </c>
      <c r="B8" s="11">
        <f>Personas!B8</f>
        <v/>
      </c>
      <c r="C8" s="11">
        <f>Personas!C8</f>
        <v/>
      </c>
      <c r="D8" s="18">
        <f>Personas!C8*(Cabaña!$B$5/Personas!$C$17)</f>
        <v/>
      </c>
      <c r="E8" s="18">
        <f>IF(Personas!D8="Sí",Gastos!$E$102/COUNTIF(Personas!$D$3:$D$15,"Sí"),0)</f>
        <v/>
      </c>
      <c r="F8" s="18">
        <f>D8+E8</f>
        <v/>
      </c>
      <c r="G8" s="18">
        <f>SUMIF(Abonos!$B$3:$B$60,A8,Abonos!$E$3:$E$60)</f>
        <v/>
      </c>
      <c r="H8" s="18">
        <f>G8-F8</f>
        <v/>
      </c>
    </row>
    <row r="9">
      <c r="A9" s="11">
        <f>Personas!A9</f>
        <v/>
      </c>
      <c r="B9" s="11">
        <f>Personas!B9</f>
        <v/>
      </c>
      <c r="C9" s="11">
        <f>Personas!C9</f>
        <v/>
      </c>
      <c r="D9" s="18">
        <f>Personas!C9*(Cabaña!$B$5/Personas!$C$17)</f>
        <v/>
      </c>
      <c r="E9" s="18">
        <f>IF(Personas!D9="Sí",Gastos!$E$102/COUNTIF(Personas!$D$3:$D$15,"Sí"),0)</f>
        <v/>
      </c>
      <c r="F9" s="18">
        <f>D9+E9</f>
        <v/>
      </c>
      <c r="G9" s="18">
        <f>SUMIF(Abonos!$B$3:$B$60,A9,Abonos!$E$3:$E$60)</f>
        <v/>
      </c>
      <c r="H9" s="18">
        <f>G9-F9</f>
        <v/>
      </c>
    </row>
    <row r="10">
      <c r="A10" s="11">
        <f>Personas!A10</f>
        <v/>
      </c>
      <c r="B10" s="11">
        <f>Personas!B10</f>
        <v/>
      </c>
      <c r="C10" s="11">
        <f>Personas!C10</f>
        <v/>
      </c>
      <c r="D10" s="18">
        <f>Personas!C10*(Cabaña!$B$5/Personas!$C$17)</f>
        <v/>
      </c>
      <c r="E10" s="18">
        <f>IF(Personas!D10="Sí",Gastos!$E$102/COUNTIF(Personas!$D$3:$D$15,"Sí"),0)</f>
        <v/>
      </c>
      <c r="F10" s="18">
        <f>D10+E10</f>
        <v/>
      </c>
      <c r="G10" s="18">
        <f>SUMIF(Abonos!$B$3:$B$60,A10,Abonos!$E$3:$E$60)</f>
        <v/>
      </c>
      <c r="H10" s="18">
        <f>G10-F10</f>
        <v/>
      </c>
    </row>
    <row r="11">
      <c r="A11" s="11">
        <f>Personas!A11</f>
        <v/>
      </c>
      <c r="B11" s="11">
        <f>Personas!B11</f>
        <v/>
      </c>
      <c r="C11" s="11">
        <f>Personas!C11</f>
        <v/>
      </c>
      <c r="D11" s="18">
        <f>Personas!C11*(Cabaña!$B$5/Personas!$C$17)</f>
        <v/>
      </c>
      <c r="E11" s="18">
        <f>IF(Personas!D11="Sí",Gastos!$E$102/COUNTIF(Personas!$D$3:$D$15,"Sí"),0)</f>
        <v/>
      </c>
      <c r="F11" s="18">
        <f>D11+E11</f>
        <v/>
      </c>
      <c r="G11" s="18">
        <f>SUMIF(Abonos!$B$3:$B$60,A11,Abonos!$E$3:$E$60)</f>
        <v/>
      </c>
      <c r="H11" s="18">
        <f>G11-F11</f>
        <v/>
      </c>
    </row>
    <row r="12">
      <c r="A12" s="11">
        <f>Personas!A12</f>
        <v/>
      </c>
      <c r="B12" s="11">
        <f>Personas!B12</f>
        <v/>
      </c>
      <c r="C12" s="11">
        <f>Personas!C12</f>
        <v/>
      </c>
      <c r="D12" s="18">
        <f>Personas!C12*(Cabaña!$B$5/Personas!$C$17)</f>
        <v/>
      </c>
      <c r="E12" s="18">
        <f>IF(Personas!D12="Sí",Gastos!$E$102/COUNTIF(Personas!$D$3:$D$15,"Sí"),0)</f>
        <v/>
      </c>
      <c r="F12" s="18">
        <f>D12+E12</f>
        <v/>
      </c>
      <c r="G12" s="18">
        <f>SUMIF(Abonos!$B$3:$B$60,A12,Abonos!$E$3:$E$60)</f>
        <v/>
      </c>
      <c r="H12" s="18">
        <f>G12-F12</f>
        <v/>
      </c>
    </row>
    <row r="13">
      <c r="A13" s="11">
        <f>Personas!A13</f>
        <v/>
      </c>
      <c r="B13" s="11">
        <f>Personas!B13</f>
        <v/>
      </c>
      <c r="C13" s="11">
        <f>Personas!C13</f>
        <v/>
      </c>
      <c r="D13" s="18">
        <f>Personas!C13*(Cabaña!$B$5/Personas!$C$17)</f>
        <v/>
      </c>
      <c r="E13" s="18">
        <f>IF(Personas!D13="Sí",Gastos!$E$102/COUNTIF(Personas!$D$3:$D$15,"Sí"),0)</f>
        <v/>
      </c>
      <c r="F13" s="18">
        <f>D13+E13</f>
        <v/>
      </c>
      <c r="G13" s="18">
        <f>SUMIF(Abonos!$B$3:$B$60,A13,Abonos!$E$3:$E$60)</f>
        <v/>
      </c>
      <c r="H13" s="18">
        <f>G13-F13</f>
        <v/>
      </c>
    </row>
    <row r="14">
      <c r="A14" s="11">
        <f>Personas!A14</f>
        <v/>
      </c>
      <c r="B14" s="11">
        <f>Personas!B14</f>
        <v/>
      </c>
      <c r="C14" s="11">
        <f>Personas!C14</f>
        <v/>
      </c>
      <c r="D14" s="18">
        <f>Personas!C14*(Cabaña!$B$5/Personas!$C$17)</f>
        <v/>
      </c>
      <c r="E14" s="18">
        <f>IF(Personas!D14="Sí",Gastos!$E$102/COUNTIF(Personas!$D$3:$D$15,"Sí"),0)</f>
        <v/>
      </c>
      <c r="F14" s="18">
        <f>D14+E14</f>
        <v/>
      </c>
      <c r="G14" s="18">
        <f>SUMIF(Abonos!$B$3:$B$60,A14,Abonos!$E$3:$E$60)</f>
        <v/>
      </c>
      <c r="H14" s="18">
        <f>G14-F14</f>
        <v/>
      </c>
    </row>
    <row r="15">
      <c r="A15" s="11">
        <f>Personas!A15</f>
        <v/>
      </c>
      <c r="B15" s="11">
        <f>Personas!B15</f>
        <v/>
      </c>
      <c r="C15" s="11">
        <f>Personas!C15</f>
        <v/>
      </c>
      <c r="D15" s="18">
        <f>Personas!C15*(Cabaña!$B$5/Personas!$C$17)</f>
        <v/>
      </c>
      <c r="E15" s="18">
        <f>IF(Personas!D15="Sí",Gastos!$E$102/COUNTIF(Personas!$D$3:$D$15,"Sí"),0)</f>
        <v/>
      </c>
      <c r="F15" s="18">
        <f>D15+E15</f>
        <v/>
      </c>
      <c r="G15" s="18">
        <f>SUMIF(Abonos!$B$3:$B$60,A15,Abonos!$E$3:$E$60)</f>
        <v/>
      </c>
      <c r="H15" s="18">
        <f>G15-F15</f>
        <v/>
      </c>
    </row>
    <row r="17">
      <c r="E17" s="2" t="inlineStr">
        <is>
          <t>TOTALES:</t>
        </is>
      </c>
      <c r="F17" s="19">
        <f>SUM(F3:F15)</f>
        <v/>
      </c>
      <c r="G17" s="19">
        <f>SUM(G3:G15)</f>
        <v/>
      </c>
      <c r="H17" s="19">
        <f>SUM(H3:H15)</f>
        <v/>
      </c>
    </row>
  </sheetData>
  <mergeCells count="1">
    <mergeCell ref="A1:H1"/>
  </mergeCells>
  <conditionalFormatting sqref="H3:H15">
    <cfRule type="cellIs" priority="1" operator="lessThan" dxfId="0">
      <formula>0</formula>
    </cfRule>
    <cfRule type="cellIs" priority="2" operator="greaterThanOrEqual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18" customWidth="1" min="3" max="3"/>
    <col width="46" customWidth="1" min="4" max="4"/>
  </cols>
  <sheetData>
    <row r="1" ht="28" customHeight="1">
      <c r="A1" s="1" t="inlineStr">
        <is>
          <t>🔮 PRESUPUESTO ESTIMADO (predictivo)</t>
        </is>
      </c>
    </row>
    <row r="2" ht="28" customHeight="1">
      <c r="A2" s="20" t="inlineStr">
        <is>
          <t>Estimado con base en investigación web (blogs de viaje, foros de peajes, comunidad Tesla Colombia, listados de cabañas). Ajusta los supuestos en amarillo — el resto se recalcula solo.</t>
        </is>
      </c>
    </row>
    <row r="4" ht="20" customHeight="1">
      <c r="A4" s="21" t="inlineStr">
        <is>
          <t>SUPUESTOS (edítalos)</t>
        </is>
      </c>
    </row>
    <row r="5">
      <c r="A5" s="2" t="inlineStr">
        <is>
          <t>Personas (comida + ocio playa)</t>
        </is>
      </c>
      <c r="B5" s="22" t="n">
        <v>13</v>
      </c>
    </row>
    <row r="6">
      <c r="A6" s="2" t="inlineStr">
        <is>
          <t>Días del viaje</t>
        </is>
      </c>
      <c r="B6" s="22" t="n">
        <v>6</v>
      </c>
    </row>
    <row r="7">
      <c r="A7" s="2" t="inlineStr">
        <is>
          <t>Número de carros</t>
        </is>
      </c>
      <c r="B7" s="22" t="n">
        <v>3</v>
      </c>
    </row>
    <row r="8">
      <c r="A8" s="2" t="inlineStr">
        <is>
          <t xml:space="preserve">  → de los cuales, a gasolina</t>
        </is>
      </c>
      <c r="B8" s="22" t="n">
        <v>2</v>
      </c>
    </row>
    <row r="9">
      <c r="A9" s="2" t="inlineStr">
        <is>
          <t xml:space="preserve">  → de los cuales, Tesla Model Y RWD</t>
        </is>
      </c>
      <c r="B9" s="22" t="n">
        <v>1</v>
      </c>
    </row>
    <row r="10">
      <c r="A10" s="2" t="inlineStr">
        <is>
          <t>Precio galón gasolina (COP)</t>
        </is>
      </c>
      <c r="B10" s="23" t="n">
        <v>17000</v>
      </c>
    </row>
    <row r="11">
      <c r="A11" s="2" t="inlineStr">
        <is>
          <t>Rendimiento promedio (km/galón)</t>
        </is>
      </c>
      <c r="B11" s="22" t="n">
        <v>35</v>
      </c>
    </row>
    <row r="12">
      <c r="A12" s="2" t="inlineStr">
        <is>
          <t>Distancia Medellín–Coveñas (km, ida)</t>
        </is>
      </c>
      <c r="B12" s="22" t="n">
        <v>500</v>
      </c>
    </row>
    <row r="13">
      <c r="A13" s="2" t="inlineStr">
        <is>
          <t>Peajes ida y vuelta por carro (COP)</t>
        </is>
      </c>
      <c r="B13" s="23" t="n">
        <v>160000</v>
      </c>
    </row>
    <row r="14">
      <c r="A14" s="2" t="inlineStr">
        <is>
          <t>Carga Tesla ida y vuelta (COP, ver hoja Tesla)</t>
        </is>
      </c>
      <c r="B14" s="35">
        <f>Tesla!C23</f>
        <v/>
      </c>
    </row>
    <row r="15">
      <c r="A15" s="2" t="inlineStr">
        <is>
          <t>Comida por persona/día (COP)</t>
        </is>
      </c>
      <c r="B15" s="23" t="n">
        <v>30000</v>
      </c>
    </row>
    <row r="16">
      <c r="A16" s="2" t="inlineStr">
        <is>
          <t>Señora de servicio por día (COP)</t>
        </is>
      </c>
      <c r="B16" s="23" t="n">
        <v>100000</v>
      </c>
    </row>
    <row r="17">
      <c r="A17" s="2" t="inlineStr">
        <is>
          <t>Ocio diario en playa por persona/día (COP)</t>
        </is>
      </c>
      <c r="B17" s="23" t="n">
        <v>25000</v>
      </c>
    </row>
    <row r="19" ht="20" customHeight="1">
      <c r="A19" s="21" t="inlineStr">
        <is>
          <t>ESTIMADO POR CATEGORÍA</t>
        </is>
      </c>
    </row>
    <row r="20" ht="30" customHeight="1">
      <c r="A20" s="24" t="inlineStr">
        <is>
          <t>Categoría</t>
        </is>
      </c>
      <c r="B20" s="24" t="inlineStr">
        <is>
          <t>Cálculo</t>
        </is>
      </c>
      <c r="C20" s="24" t="inlineStr">
        <is>
          <t>Total estimado</t>
        </is>
      </c>
      <c r="D20" s="24" t="inlineStr">
        <is>
          <t>Fuente / nota</t>
        </is>
      </c>
    </row>
    <row r="21">
      <c r="A21" s="25" t="inlineStr">
        <is>
          <t>Alimentación / mercado</t>
        </is>
      </c>
      <c r="B21" s="25">
        <f>B5*B6*B15</f>
        <v/>
      </c>
      <c r="C21" s="26">
        <f>B21</f>
        <v/>
      </c>
      <c r="D21" s="27" t="inlineStr">
        <is>
          <t>Sin dato específico de Coveñas — estimado con referencia costa Caribe colombiana (autoconsumo, no restaurante)</t>
        </is>
      </c>
    </row>
    <row r="22">
      <c r="A22" s="25" t="inlineStr">
        <is>
          <t>Transporte — carros a gasolina</t>
        </is>
      </c>
      <c r="B22" s="25">
        <f>B8*((2*B12/B11*B10)+B13)</f>
        <v/>
      </c>
      <c r="C22" s="26">
        <f>B22</f>
        <v/>
      </c>
      <c r="D22" s="27" t="inlineStr">
        <is>
          <t>colombiapeajes.com + tarifas.info: ~493-540km, ~$170-210k gasolina + ~$80k peajes por trayecto</t>
        </is>
      </c>
    </row>
    <row r="23">
      <c r="A23" s="25" t="inlineStr">
        <is>
          <t>Transporte — Tesla Model Y RWD</t>
        </is>
      </c>
      <c r="B23" s="25">
        <f>B14</f>
        <v/>
      </c>
      <c r="C23" s="26">
        <f>B23</f>
        <v/>
      </c>
      <c r="D23" s="27" t="inlineStr">
        <is>
          <t>Club Tesla Colombia: Supercargador Medellín $1.300/kWh (~$50k por carga rápida). Asume carga en casa + 1 parada rápida por trayecto; sin Supercargador confirmado en la ruta a Coveñas</t>
        </is>
      </c>
    </row>
    <row r="24">
      <c r="A24" s="25" t="inlineStr">
        <is>
          <t>Señora de servicio (cocina + aseo)</t>
        </is>
      </c>
      <c r="B24" s="25">
        <f>B16*B6</f>
        <v/>
      </c>
      <c r="C24" s="26">
        <f>B24</f>
        <v/>
      </c>
      <c r="D24" s="27" t="inlineStr">
        <is>
          <t>Listados de cabañas en Coveñas (Airbnb/Renti): $80k–$110k/día para grupos de hasta 10-12 personas</t>
        </is>
      </c>
    </row>
    <row r="25">
      <c r="A25" s="25" t="inlineStr">
        <is>
          <t>Ocio diario en playa (toldo/silla, bebidas)</t>
        </is>
      </c>
      <c r="B25" s="25">
        <f>B5*B6*B17</f>
        <v/>
      </c>
      <c r="C25" s="26">
        <f>B25</f>
        <v/>
      </c>
      <c r="D25" s="27" t="inlineStr">
        <is>
          <t>Sin dato específico de Coveñas — estimado de referencia costa Caribe. No incluye paseo a Islas de San Bernardo (eso va en 'Actividades')</t>
        </is>
      </c>
    </row>
    <row r="27">
      <c r="A27" s="2" t="inlineStr">
        <is>
          <t>Subtotal estimado (sin cabaña):</t>
        </is>
      </c>
      <c r="C27" s="28">
        <f>SUM(C21:C25)</f>
        <v/>
      </c>
    </row>
    <row r="29" ht="20" customHeight="1">
      <c r="A29" s="21" t="inlineStr">
        <is>
          <t>GRAN TOTAL ESTIMADO DEL VIAJE</t>
        </is>
      </c>
    </row>
    <row r="30">
      <c r="A30" s="2" t="inlineStr">
        <is>
          <t>Costo cabaña (real, ya reservada)</t>
        </is>
      </c>
      <c r="C30" s="16">
        <f>Cabaña!B5</f>
        <v/>
      </c>
    </row>
    <row r="31">
      <c r="A31" s="2" t="inlineStr">
        <is>
          <t>+ Subtotal estimado arriba</t>
        </is>
      </c>
      <c r="C31" s="16">
        <f>C27</f>
        <v/>
      </c>
    </row>
    <row r="32">
      <c r="A32" s="5">
        <f> GRAN TOTAL ESTIMADO DEL VIAJE</f>
        <v/>
      </c>
      <c r="C32" s="17">
        <f>C30+C27</f>
        <v/>
      </c>
    </row>
    <row r="33">
      <c r="A33" s="2" t="inlineStr">
        <is>
          <t>≈ por persona</t>
        </is>
      </c>
      <c r="C33" s="28">
        <f>C32/B5</f>
        <v/>
      </c>
    </row>
    <row r="36">
      <c r="A36" s="29" t="inlineStr">
        <is>
          <t>Nota: los blogs de viaje (Isatour, Ecoturismo Colombia) reportan viajes de 4 noches desde Medellín (transporte + hospedaje + comida + 2 excursiones) entre $700.000 y $1.200.000 COP por persona. Nuestro estimado por persona para 6 noches queda dentro de un rango razonable frente a esa referencia.</t>
        </is>
      </c>
    </row>
    <row r="37"/>
    <row r="38"/>
  </sheetData>
  <mergeCells count="3">
    <mergeCell ref="A1:D1"/>
    <mergeCell ref="A2:F2"/>
    <mergeCell ref="A36:F3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6" customWidth="1" min="3" max="3"/>
    <col width="46" customWidth="1" min="4" max="4"/>
  </cols>
  <sheetData>
    <row r="1" ht="28" customHeight="1">
      <c r="A1" s="1" t="inlineStr">
        <is>
          <t>🔋 TESLA MODEL Y RWD — Medellín → Coveñas</t>
        </is>
      </c>
    </row>
    <row r="2" ht="30" customHeight="1">
      <c r="A2" s="20" t="inlineStr">
        <is>
          <t>Ruta, paradas de carga, presupuesto y checklist para el carro de Andrés. Investigado en Club Tesla Colombia, guías de viaje en eléctrico a la costa Caribe y foros de carreteras — confirma disponibilidad real antes de salir, la red cambia seguido.</t>
        </is>
      </c>
    </row>
    <row r="4" ht="20" customHeight="1">
      <c r="A4" s="21" t="inlineStr">
        <is>
          <t>RUTA Y PARADAS DE CARGA</t>
        </is>
      </c>
    </row>
    <row r="5" ht="28" customHeight="1">
      <c r="A5" s="30" t="inlineStr">
        <is>
          <t>Parada</t>
        </is>
      </c>
      <c r="B5" s="30" t="inlineStr">
        <is>
          <t>Km aprox. desde Medellín</t>
        </is>
      </c>
      <c r="C5" s="30" t="inlineStr">
        <is>
          <t>Tipo de carga</t>
        </is>
      </c>
      <c r="D5" s="30" t="inlineStr">
        <is>
          <t>Nota</t>
        </is>
      </c>
    </row>
    <row r="6" ht="44" customHeight="1">
      <c r="A6" s="31" t="inlineStr">
        <is>
          <t>Medellín (Unicentro, Laureles)</t>
        </is>
      </c>
      <c r="B6" s="25" t="inlineStr">
        <is>
          <t>0 km</t>
        </is>
      </c>
      <c r="C6" s="25" t="inlineStr">
        <is>
          <t>Supercharger Tesla</t>
        </is>
      </c>
      <c r="D6" s="25" t="inlineStr">
        <is>
          <t>Cargar al 100% aquí antes de salir. Es el Supercargador Tesla nativo más cercano al origen.</t>
        </is>
      </c>
    </row>
    <row r="7" ht="44" customHeight="1">
      <c r="A7" s="31" t="inlineStr">
        <is>
          <t>Caucasia</t>
        </is>
      </c>
      <c r="B7" s="25" t="inlineStr">
        <is>
          <t>≈ 250 km</t>
        </is>
      </c>
      <c r="C7" s="25" t="inlineStr">
        <is>
          <t>CCS Combo 2 (rápido)</t>
        </is>
      </c>
      <c r="D7" s="25" t="inlineStr">
        <is>
          <t>Punto medio natural de la ruta. Requiere adaptador CCS — confirmar con Electromaps/Chargemap que esté operativo antes de salir.</t>
        </is>
      </c>
    </row>
    <row r="8" ht="44" customHeight="1">
      <c r="A8" s="31" t="inlineStr">
        <is>
          <t>Planeta Rica / Sincelejo</t>
        </is>
      </c>
      <c r="B8" s="25" t="inlineStr">
        <is>
          <t>≈ 350–400 km</t>
        </is>
      </c>
      <c r="C8" s="25" t="inlineStr">
        <is>
          <t>CCS Combo 2 (variable)</t>
        </is>
      </c>
      <c r="D8" s="25" t="inlineStr">
        <is>
          <t>Alternativa si Caucasia no tiene el cargador disponible. Cobertura menos confiable, llevar margen.</t>
        </is>
      </c>
    </row>
    <row r="9" ht="44" customHeight="1">
      <c r="A9" s="31" t="inlineStr">
        <is>
          <t>Coveñas / Tolú</t>
        </is>
      </c>
      <c r="B9" s="25" t="inlineStr">
        <is>
          <t>≈ 500 km (destino)</t>
        </is>
      </c>
      <c r="C9" s="25" t="inlineStr">
        <is>
          <t>Toma normal 110V (carga lenta) / variable</t>
        </is>
      </c>
      <c r="D9" s="25" t="inlineStr">
        <is>
          <t>Confirmar con la propietaria si la cabaña tiene toma disponible para carga lenta overnight — evita depender de la red pública para el regreso.</t>
        </is>
      </c>
    </row>
    <row r="11" ht="20" customHeight="1">
      <c r="A11" s="21" t="inlineStr">
        <is>
          <t>AUTONOMÍA Y CLIMA</t>
        </is>
      </c>
    </row>
    <row r="12" ht="28" customHeight="1">
      <c r="A12" s="32" t="inlineStr">
        <is>
          <t>•  Model Y RWD: autonomía WLTP menor que la versión Long Range (~600 km) — cuenta con menos rango de sobra.</t>
        </is>
      </c>
    </row>
    <row r="13" ht="28" customHeight="1">
      <c r="A13" s="32" t="inlineStr">
        <is>
          <t>•  En clima cálido (costa) la autonomía real baja entre 10% y 15% frente al valor de ficha, sobre todo usando aire acondicionado.</t>
        </is>
      </c>
    </row>
    <row r="14" ht="28" customHeight="1">
      <c r="A14" s="32" t="inlineStr">
        <is>
          <t>•  La topografía montañosa de la salida de Medellín también reduce el rendimiento — prevé más margen que en terreno plano.</t>
        </is>
      </c>
    </row>
    <row r="15" ht="28" customHeight="1">
      <c r="A15" s="32" t="inlineStr">
        <is>
          <t>•  Con ≈500 km de trayecto y autonomía real probable de 350–400 km, es indispensable al menos 1 parada de carga por trayecto.</t>
        </is>
      </c>
    </row>
    <row r="17" ht="20" customHeight="1">
      <c r="A17" s="21" t="inlineStr">
        <is>
          <t>PRESUPUESTO DE CARGA (ida y vuelta)</t>
        </is>
      </c>
    </row>
    <row r="18" ht="22" customHeight="1">
      <c r="A18" s="30" t="inlineStr">
        <is>
          <t>Tramo</t>
        </is>
      </c>
      <c r="B18" s="30" t="inlineStr">
        <is>
          <t>Tipo</t>
        </is>
      </c>
      <c r="C18" s="30" t="inlineStr">
        <is>
          <t>Estimado</t>
        </is>
      </c>
      <c r="D18" s="30" t="inlineStr">
        <is>
          <t>Nota</t>
        </is>
      </c>
    </row>
    <row r="19" ht="30" customHeight="1">
      <c r="A19" s="25" t="inlineStr">
        <is>
          <t>Carga de salida en Medellín</t>
        </is>
      </c>
      <c r="B19" s="25" t="inlineStr">
        <is>
          <t>Supercharger ($1.300/kWh)</t>
        </is>
      </c>
      <c r="C19" s="26" t="n">
        <v>80000</v>
      </c>
      <c r="D19" s="25" t="inlineStr">
        <is>
          <t>Completar al 100% antes de salir</t>
        </is>
      </c>
    </row>
    <row r="20" ht="30" customHeight="1">
      <c r="A20" s="25" t="inlineStr">
        <is>
          <t>Parada Caucasia (ida)</t>
        </is>
      </c>
      <c r="B20" s="25" t="inlineStr">
        <is>
          <t>CCS Combo 2, carga parcial</t>
        </is>
      </c>
      <c r="C20" s="26" t="n">
        <v>50000</v>
      </c>
      <c r="D20" s="25" t="inlineStr">
        <is>
          <t>Solo lo necesario para llegar a Coveñas</t>
        </is>
      </c>
    </row>
    <row r="21" ht="30" customHeight="1">
      <c r="A21" s="25" t="inlineStr">
        <is>
          <t>Carga en destino (cabaña)</t>
        </is>
      </c>
      <c r="B21" s="25" t="inlineStr">
        <is>
          <t>Toma normal / lenta</t>
        </is>
      </c>
      <c r="C21" s="26" t="n">
        <v>15000</v>
      </c>
      <c r="D21" s="25" t="inlineStr">
        <is>
          <t>Si la propietaria confirma toma disponible; tarifa doméstica, mucho más barata</t>
        </is>
      </c>
    </row>
    <row r="22" ht="30" customHeight="1">
      <c r="A22" s="25" t="inlineStr">
        <is>
          <t>Parada Caucasia (regreso)</t>
        </is>
      </c>
      <c r="B22" s="25" t="inlineStr">
        <is>
          <t>CCS Combo 2, carga parcial</t>
        </is>
      </c>
      <c r="C22" s="26" t="n">
        <v>50000</v>
      </c>
      <c r="D22" s="25" t="inlineStr">
        <is>
          <t>Para volver a Medellín con margen</t>
        </is>
      </c>
    </row>
    <row r="23">
      <c r="A23" s="2" t="inlineStr">
        <is>
          <t>Total estimado carga Tesla (ida y vuelta):</t>
        </is>
      </c>
      <c r="C23" s="28">
        <f>SUM(C19:C22)</f>
        <v/>
      </c>
    </row>
    <row r="24">
      <c r="A24" s="33" t="inlineStr">
        <is>
          <t>Nota: mucho más barato que un carro a gasolina en el mismo trayecto (~$466.000 ida y vuelta en gasolina+peajes, ver hoja 'Estimado'). El supuesto 'Carga Tesla ida y vuelta' de la hoja Estimado está ligado a este total.</t>
        </is>
      </c>
    </row>
    <row r="25"/>
    <row r="27" ht="20" customHeight="1">
      <c r="A27" s="21" t="inlineStr">
        <is>
          <t>CHECKLIST ANTES DE SALIR</t>
        </is>
      </c>
    </row>
    <row r="28" ht="26" customHeight="1">
      <c r="A28" s="32" t="inlineStr">
        <is>
          <t>☐  Cargar al 100% en el Supercargador de Unicentro Medellín la noche o mañana antes de salir.</t>
        </is>
      </c>
    </row>
    <row r="29" ht="26" customHeight="1">
      <c r="A29" s="32" t="inlineStr">
        <is>
          <t>☐  Llevar el adaptador CCS Combo 2 — la mayoría de cargadores rápidos en Colombia usan ese estándar, no el conector Tesla.</t>
        </is>
      </c>
    </row>
    <row r="30" ht="26" customHeight="1">
      <c r="A30" s="32" t="inlineStr">
        <is>
          <t>☐  Instalar Electromaps o Chargemap y confirmar el día del viaje qué cargadores de Caucasia/Sincelejo están operativos.</t>
        </is>
      </c>
    </row>
    <row r="31" ht="26" customHeight="1">
      <c r="A31" s="32" t="inlineStr">
        <is>
          <t>☐  Llevar el cable/cargador portátil (mobile connector) por si toca cargar lento en una toma normal.</t>
        </is>
      </c>
    </row>
    <row r="32" ht="26" customHeight="1">
      <c r="A32" s="32" t="inlineStr">
        <is>
          <t>☐  Revisión preventiva antes de carretera: llantas, frenos, sistema de refrigeración de batería.</t>
        </is>
      </c>
    </row>
    <row r="33" ht="26" customHeight="1">
      <c r="A33" s="32" t="inlineStr">
        <is>
          <t>☐  Activar modo Eco y aprovechar el frenado regenerativo; usar el aire acondicionado a temperatura media, no al máximo.</t>
        </is>
      </c>
    </row>
    <row r="34" ht="26" customHeight="1">
      <c r="A34" s="32" t="inlineStr">
        <is>
          <t>☐  No conectar a cargar apenas se llega bajo sol fuerte — dejar que la batería se estabilice unos minutos primero.</t>
        </is>
      </c>
    </row>
    <row r="35" ht="26" customHeight="1">
      <c r="A35" s="32" t="inlineStr">
        <is>
          <t>☐  En Coveñas, evitar dejar el carro parqueado directo al sol del mediodía por horas largas.</t>
        </is>
      </c>
    </row>
    <row r="36" ht="26" customHeight="1">
      <c r="A36" s="32" t="inlineStr">
        <is>
          <t>☐  Confirmar con la propietaria de la cabaña si hay una toma 110V disponible para cargar lento durante la estadía.</t>
        </is>
      </c>
    </row>
    <row r="37" ht="26" customHeight="1">
      <c r="A37" s="32" t="inlineStr">
        <is>
          <t>☐  Tener un plan B (ruta o parada alterna) si algún cargador de la lista aparece fuera de servicio ese día.</t>
        </is>
      </c>
    </row>
    <row r="39" ht="20" customHeight="1">
      <c r="A39" s="21" t="inlineStr">
        <is>
          <t>FUENTES CONSULTADAS</t>
        </is>
      </c>
    </row>
    <row r="40">
      <c r="A40" s="34" t="inlineStr">
        <is>
          <t>—  Club Tesla Colombia — guía de cargadores y adaptadores, tarifa Supercharger ($1.300/kWh)</t>
        </is>
      </c>
    </row>
    <row r="41">
      <c r="A41" s="34" t="inlineStr">
        <is>
          <t>—  BYD Colombia — ruta y paradas de carga hacia la Costa Caribe (incluye zona Coveñas–Tolú)</t>
        </is>
      </c>
    </row>
    <row r="42">
      <c r="A42" s="34" t="inlineStr">
        <is>
          <t>—  Pulzo / El Espectador / Carroya — cuidado de batería en calor y viajes largos en eléctrico</t>
        </is>
      </c>
    </row>
    <row r="43">
      <c r="A43" s="34" t="inlineStr">
        <is>
          <t>—  La República / El Tiempo — mapa de estaciones de carga en Colombia</t>
        </is>
      </c>
    </row>
  </sheetData>
  <mergeCells count="21">
    <mergeCell ref="A24:D25"/>
    <mergeCell ref="A35:D35"/>
    <mergeCell ref="A29:D29"/>
    <mergeCell ref="A43:D43"/>
    <mergeCell ref="A28:D28"/>
    <mergeCell ref="A13:D13"/>
    <mergeCell ref="A40:D40"/>
    <mergeCell ref="A31:D31"/>
    <mergeCell ref="A34:D34"/>
    <mergeCell ref="A30:D30"/>
    <mergeCell ref="A15:D15"/>
    <mergeCell ref="A36:D36"/>
    <mergeCell ref="A1:D1"/>
    <mergeCell ref="A41:D41"/>
    <mergeCell ref="A37:D37"/>
    <mergeCell ref="A12:D12"/>
    <mergeCell ref="A2:D2"/>
    <mergeCell ref="A33:D33"/>
    <mergeCell ref="A42:D42"/>
    <mergeCell ref="A32:D32"/>
    <mergeCell ref="A14:D1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26" customWidth="1" min="3" max="3"/>
    <col width="46" customWidth="1" min="4" max="4"/>
  </cols>
  <sheetData>
    <row r="1" ht="28" customHeight="1">
      <c r="A1" s="1" t="inlineStr">
        <is>
          <t>⛽ CARROS A GASOLINA — Medellín → Coveñas</t>
        </is>
      </c>
    </row>
    <row r="2" ht="30" customHeight="1">
      <c r="A2" s="20" t="inlineStr">
        <is>
          <t>Ruta, presupuesto y checklist para los 2 carros a gasolina del grupo. Mismos supuestos que la hoja 'Estimado' — investigado en foros de peajes y guías de viaje.</t>
        </is>
      </c>
    </row>
    <row r="4" ht="20" customHeight="1">
      <c r="A4" s="21" t="inlineStr">
        <is>
          <t>RUTA Y PARADAS</t>
        </is>
      </c>
    </row>
    <row r="5" ht="28" customHeight="1">
      <c r="A5" s="30" t="inlineStr">
        <is>
          <t>Parada</t>
        </is>
      </c>
      <c r="B5" s="30" t="inlineStr">
        <is>
          <t>Km aprox. desde Medellín</t>
        </is>
      </c>
      <c r="C5" s="30" t="inlineStr">
        <is>
          <t>Qué hacer ahí</t>
        </is>
      </c>
      <c r="D5" s="30" t="inlineStr">
        <is>
          <t>Nota</t>
        </is>
      </c>
    </row>
    <row r="6" ht="40" customHeight="1">
      <c r="A6" s="31" t="inlineStr">
        <is>
          <t>Medellín</t>
        </is>
      </c>
      <c r="B6" s="25" t="inlineStr">
        <is>
          <t>0 km</t>
        </is>
      </c>
      <c r="C6" s="25" t="inlineStr">
        <is>
          <t>Salida</t>
        </is>
      </c>
      <c r="D6" s="25" t="inlineStr">
        <is>
          <t>Tanquear lleno antes de salir — evita buscar bomba con poco tiempo.</t>
        </is>
      </c>
    </row>
    <row r="7" ht="40" customHeight="1">
      <c r="A7" s="31" t="inlineStr">
        <is>
          <t>Santa Fe de Antioquia / Caucasia</t>
        </is>
      </c>
      <c r="B7" s="25" t="inlineStr">
        <is>
          <t>≈ 250 km</t>
        </is>
      </c>
      <c r="C7" s="25" t="inlineStr">
        <is>
          <t>Descanso + gasolina</t>
        </is>
      </c>
      <c r="D7" s="25" t="inlineStr">
        <is>
          <t>Punto medio natural, hay estaciones de servicio y sitios para comer.</t>
        </is>
      </c>
    </row>
    <row r="8" ht="40" customHeight="1">
      <c r="A8" s="31" t="inlineStr">
        <is>
          <t>Planeta Rica / Sincelejo</t>
        </is>
      </c>
      <c r="B8" s="25" t="inlineStr">
        <is>
          <t>≈ 350–400 km</t>
        </is>
      </c>
      <c r="C8" s="25" t="inlineStr">
        <is>
          <t>Gasolina si hace falta</t>
        </is>
      </c>
      <c r="D8" s="25" t="inlineStr">
        <is>
          <t>Segunda opción de tanqueo si no se llenó completo en Caucasia.</t>
        </is>
      </c>
    </row>
    <row r="9" ht="40" customHeight="1">
      <c r="A9" s="31" t="inlineStr">
        <is>
          <t>Coveñas / Tolú</t>
        </is>
      </c>
      <c r="B9" s="25" t="inlineStr">
        <is>
          <t>≈ 500 km (destino)</t>
        </is>
      </c>
      <c r="C9" s="25" t="inlineStr">
        <is>
          <t>Llegada</t>
        </is>
      </c>
      <c r="D9" s="25" t="inlineStr">
        <is>
          <t>Confirmar parqueadero disponible en el condominio para los 2 carros.</t>
        </is>
      </c>
    </row>
    <row r="11" ht="20" customHeight="1">
      <c r="A11" s="21" t="inlineStr">
        <is>
          <t>PRESUPUESTO POR CARRO (ida y vuelta)</t>
        </is>
      </c>
    </row>
    <row r="12" ht="22" customHeight="1">
      <c r="A12" s="30" t="inlineStr">
        <is>
          <t>Concepto</t>
        </is>
      </c>
      <c r="B12" s="30" t="inlineStr">
        <is>
          <t>Cálculo</t>
        </is>
      </c>
      <c r="C12" s="30" t="inlineStr">
        <is>
          <t>Estimado</t>
        </is>
      </c>
      <c r="D12" s="30" t="inlineStr">
        <is>
          <t>Fuente / nota</t>
        </is>
      </c>
    </row>
    <row r="13" ht="34" customHeight="1">
      <c r="A13" s="25" t="inlineStr">
        <is>
          <t>Gasolina (ida y vuelta)</t>
        </is>
      </c>
      <c r="B13" s="25" t="inlineStr">
        <is>
          <t>≈500km ida x2 / 35 km-galón x $17.000/galón</t>
        </is>
      </c>
      <c r="C13" s="26" t="n">
        <v>486000</v>
      </c>
      <c r="D13" s="25" t="inlineStr">
        <is>
          <t>colombiapeajes.com / tarifas.info — rango real $340k-420k según rendimiento del carro</t>
        </is>
      </c>
    </row>
    <row r="14" ht="34" customHeight="1">
      <c r="A14" s="25" t="inlineStr">
        <is>
          <t>Peajes (ida y vuelta)</t>
        </is>
      </c>
      <c r="B14" s="25" t="inlineStr">
        <is>
          <t>≈$80.000 por trayecto x2</t>
        </is>
      </c>
      <c r="C14" s="26" t="n">
        <v>160000</v>
      </c>
      <c r="D14" s="25" t="inlineStr">
        <is>
          <t>colombiapeajes.com — ruta Medellín-Coveñas</t>
        </is>
      </c>
    </row>
    <row r="15">
      <c r="A15" s="2" t="inlineStr">
        <is>
          <t>Total estimado por carro (ida y vuelta):</t>
        </is>
      </c>
      <c r="C15" s="28">
        <f>SUM(C13:C14)</f>
        <v/>
      </c>
    </row>
    <row r="16">
      <c r="A16" s="2" t="inlineStr">
        <is>
          <t>Total 2 carros a gasolina:</t>
        </is>
      </c>
      <c r="C16" s="28">
        <f>C15*2</f>
        <v/>
      </c>
    </row>
    <row r="18" ht="20" customHeight="1">
      <c r="A18" s="21" t="inlineStr">
        <is>
          <t>CHECKLIST ANTES DE SALIR</t>
        </is>
      </c>
    </row>
    <row r="19" ht="26" customHeight="1">
      <c r="A19" s="32" t="inlineStr">
        <is>
          <t>☐  Revisión preventiva: llantas (incluida la de repuesto), frenos, aceite, luces, batería.</t>
        </is>
      </c>
    </row>
    <row r="20" ht="26" customHeight="1">
      <c r="A20" s="32" t="inlineStr">
        <is>
          <t>☐  SOAT y tecnomecánica vigentes para la fecha del viaje.</t>
        </is>
      </c>
    </row>
    <row r="21" ht="26" customHeight="1">
      <c r="A21" s="32" t="inlineStr">
        <is>
          <t>☐  Kit de carretera: gato, cruceta, triángulos, chaleco reflectivo, botiquín, extintor.</t>
        </is>
      </c>
    </row>
    <row r="22" ht="26" customHeight="1">
      <c r="A22" s="32" t="inlineStr">
        <is>
          <t>☐  Tanquear lleno en Medellín antes de salir — no todas las paradas intermedias tienen bomba confiable.</t>
        </is>
      </c>
    </row>
    <row r="23" ht="26" customHeight="1">
      <c r="A23" s="32" t="inlineStr">
        <is>
          <t>☐  Coordinar con el otro carro un punto de encuentro fijo si se separan en el camino.</t>
        </is>
      </c>
    </row>
    <row r="24" ht="26" customHeight="1">
      <c r="A24" s="32" t="inlineStr">
        <is>
          <t>☐  Llevar efectivo para peajes (algunos puntos de la ruta no tienen pago electrónico).</t>
        </is>
      </c>
    </row>
    <row r="25" ht="26" customHeight="1">
      <c r="A25" s="32" t="inlineStr">
        <is>
          <t>☐  Descansar cada 2-3 horas de manejo — son cerca de 9 horas de carretera.</t>
        </is>
      </c>
    </row>
    <row r="26" ht="26" customHeight="1">
      <c r="A26" s="32" t="inlineStr">
        <is>
          <t>☐  Guardar el recibo/soporte de gasolina y peajes si se va a repartir el gasto entre el carro.</t>
        </is>
      </c>
    </row>
    <row r="28" ht="20" customHeight="1">
      <c r="A28" s="21" t="inlineStr">
        <is>
          <t>FUENTES CONSULTADAS</t>
        </is>
      </c>
    </row>
    <row r="29">
      <c r="A29" s="34" t="inlineStr">
        <is>
          <t>—  colombiapeajes.com — peajes ruta Medellín-Coveñas</t>
        </is>
      </c>
    </row>
    <row r="30">
      <c r="A30" s="34" t="inlineStr">
        <is>
          <t>—  tarifas.info — gasolina y peajes Medellín-Coveñas 2025</t>
        </is>
      </c>
    </row>
    <row r="31">
      <c r="A31" s="34" t="inlineStr">
        <is>
          <t>—  yotellevo.net / himmera.com — distancia y tiempo de viaje Medellín-Coveñas</t>
        </is>
      </c>
    </row>
  </sheetData>
  <mergeCells count="13">
    <mergeCell ref="A1:D1"/>
    <mergeCell ref="A23:D23"/>
    <mergeCell ref="A31:D31"/>
    <mergeCell ref="A22:D22"/>
    <mergeCell ref="A20:D20"/>
    <mergeCell ref="A21:D21"/>
    <mergeCell ref="A26:D26"/>
    <mergeCell ref="A30:D30"/>
    <mergeCell ref="A29:D29"/>
    <mergeCell ref="A25:D25"/>
    <mergeCell ref="A24:D24"/>
    <mergeCell ref="A19:D19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2026-08-11T21:47:15Z</dcterms:created>
  <dcterms:modified xmlns:dcterms="http://purl.org/dc/terms/" xmlns:xsi="http://www.w3.org/2001/XMLSchema-instance" xsi:type="dcterms:W3CDTF">2026-08-12T21:01:29Z</dcterms:modified>
</cp:coreProperties>
</file>